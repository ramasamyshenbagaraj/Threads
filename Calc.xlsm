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ink/ink5.xml" ContentType="application/inkml+xml"/>
  <Override PartName="/xl/ink/ink6.xml" ContentType="application/inkml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ink/ink7.xml" ContentType="application/inkml+xml"/>
  <Override PartName="/xl/ink/ink8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mir/Google Drive/YDD/Products/Gear Shift Calculator/"/>
    </mc:Choice>
  </mc:AlternateContent>
  <xr:revisionPtr revIDLastSave="0" documentId="13_ncr:1_{AB065252-890D-0E45-80F4-8CEBEAF54339}" xr6:coauthVersionLast="43" xr6:coauthVersionMax="43" xr10:uidLastSave="{00000000-0000-0000-0000-000000000000}"/>
  <bookViews>
    <workbookView xWindow="39120" yWindow="1080" windowWidth="32300" windowHeight="27160" xr2:uid="{349B0C9C-B6C3-2C41-AEC2-0FCB0B5B5B73}"/>
  </bookViews>
  <sheets>
    <sheet name="Summary Sheet" sheetId="1" r:id="rId1"/>
    <sheet name="workings" sheetId="2" r:id="rId2"/>
    <sheet name="chages" sheetId="4" r:id="rId3"/>
  </sheets>
  <functionGroups builtInGroupCount="19"/>
  <definedNames>
    <definedName name="GEAR1">workings!$B$72:$C$87</definedName>
    <definedName name="GEAR2">workings!$D$72:$E$87</definedName>
    <definedName name="GEAR3">workings!$F$72:$G$87</definedName>
    <definedName name="GEAR4">workings!$H$72:$I$87</definedName>
    <definedName name="GEAR5">workings!$J$72:$K$87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2" l="1"/>
  <c r="F10" i="2" s="1"/>
  <c r="F11" i="2" l="1"/>
  <c r="C53" i="2" s="1"/>
  <c r="F12" i="2"/>
  <c r="C54" i="2" s="1"/>
  <c r="F13" i="2"/>
  <c r="C55" i="2" s="1"/>
  <c r="F14" i="2"/>
  <c r="C56" i="2" s="1"/>
  <c r="F15" i="2"/>
  <c r="C57" i="2" s="1"/>
  <c r="F16" i="2"/>
  <c r="C58" i="2" s="1"/>
  <c r="F17" i="2"/>
  <c r="C59" i="2" s="1"/>
  <c r="F18" i="2"/>
  <c r="C60" i="2" s="1"/>
  <c r="F19" i="2"/>
  <c r="C61" i="2" s="1"/>
  <c r="F20" i="2"/>
  <c r="C62" i="2" s="1"/>
  <c r="F21" i="2"/>
  <c r="C63" i="2" s="1"/>
  <c r="F22" i="2"/>
  <c r="C64" i="2" s="1"/>
  <c r="F23" i="2"/>
  <c r="C65" i="2" s="1"/>
  <c r="C52" i="2"/>
  <c r="E12" i="2"/>
  <c r="E14" i="2"/>
  <c r="E15" i="2"/>
  <c r="E18" i="2"/>
  <c r="E20" i="2"/>
  <c r="E22" i="2"/>
  <c r="E23" i="2"/>
  <c r="D10" i="2"/>
  <c r="E10" i="2" s="1"/>
  <c r="D11" i="2"/>
  <c r="E11" i="2" s="1"/>
  <c r="D12" i="2"/>
  <c r="D13" i="2"/>
  <c r="E13" i="2" s="1"/>
  <c r="D14" i="2"/>
  <c r="D15" i="2"/>
  <c r="D16" i="2"/>
  <c r="E16" i="2" s="1"/>
  <c r="D17" i="2"/>
  <c r="E17" i="2" s="1"/>
  <c r="D18" i="2"/>
  <c r="D19" i="2"/>
  <c r="E19" i="2" s="1"/>
  <c r="D20" i="2"/>
  <c r="D21" i="2"/>
  <c r="E21" i="2" s="1"/>
  <c r="D22" i="2"/>
  <c r="D23" i="2"/>
  <c r="D24" i="2"/>
  <c r="E24" i="2" s="1"/>
  <c r="F24" i="2" s="1"/>
  <c r="C66" i="2" s="1"/>
  <c r="D25" i="2"/>
  <c r="E25" i="2" s="1"/>
  <c r="F25" i="2" s="1"/>
  <c r="C67" i="2" s="1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B59" i="2"/>
  <c r="B60" i="2"/>
  <c r="B67" i="2"/>
  <c r="B52" i="2"/>
  <c r="B32" i="2"/>
  <c r="B35" i="2"/>
  <c r="B38" i="2"/>
  <c r="B39" i="2"/>
  <c r="B40" i="2"/>
  <c r="B43" i="2"/>
  <c r="B11" i="2"/>
  <c r="B53" i="2" s="1"/>
  <c r="B12" i="2"/>
  <c r="B33" i="2" s="1"/>
  <c r="B13" i="2"/>
  <c r="B34" i="2" s="1"/>
  <c r="B14" i="2"/>
  <c r="B56" i="2" s="1"/>
  <c r="B15" i="2"/>
  <c r="B36" i="2" s="1"/>
  <c r="B16" i="2"/>
  <c r="B17" i="2"/>
  <c r="B18" i="2"/>
  <c r="B19" i="2"/>
  <c r="B61" i="2" s="1"/>
  <c r="B20" i="2"/>
  <c r="B41" i="2" s="1"/>
  <c r="B21" i="2"/>
  <c r="B42" i="2" s="1"/>
  <c r="B22" i="2"/>
  <c r="G22" i="2" s="1"/>
  <c r="B23" i="2"/>
  <c r="B24" i="2"/>
  <c r="B66" i="2" s="1"/>
  <c r="B25" i="2"/>
  <c r="B46" i="2" s="1"/>
  <c r="B10" i="2"/>
  <c r="F112" i="2" s="1"/>
  <c r="G16" i="2" l="1"/>
  <c r="G23" i="2"/>
  <c r="G15" i="2"/>
  <c r="G14" i="2"/>
  <c r="B31" i="2"/>
  <c r="C31" i="2" s="1"/>
  <c r="B58" i="2"/>
  <c r="B37" i="2"/>
  <c r="B65" i="2"/>
  <c r="B57" i="2"/>
  <c r="B44" i="2"/>
  <c r="B64" i="2"/>
  <c r="G10" i="2"/>
  <c r="B63" i="2"/>
  <c r="B55" i="2"/>
  <c r="B62" i="2"/>
  <c r="B54" i="2"/>
  <c r="G21" i="2"/>
  <c r="G13" i="2"/>
  <c r="G20" i="2"/>
  <c r="G12" i="2"/>
  <c r="G19" i="2"/>
  <c r="G11" i="2"/>
  <c r="G18" i="2"/>
  <c r="J19" i="2"/>
  <c r="K19" i="2" s="1"/>
  <c r="G25" i="2"/>
  <c r="G17" i="2"/>
  <c r="B45" i="2"/>
  <c r="G24" i="2"/>
  <c r="N9" i="2"/>
  <c r="O9" i="2"/>
  <c r="P9" i="2"/>
  <c r="Q9" i="2"/>
  <c r="N10" i="2"/>
  <c r="O10" i="2"/>
  <c r="P10" i="2"/>
  <c r="Q10" i="2"/>
  <c r="N11" i="2"/>
  <c r="O11" i="2"/>
  <c r="P11" i="2"/>
  <c r="N12" i="2"/>
  <c r="O12" i="2"/>
  <c r="N13" i="2"/>
  <c r="O13" i="2"/>
  <c r="N14" i="2"/>
  <c r="O14" i="2"/>
  <c r="N15" i="2"/>
  <c r="O15" i="2"/>
  <c r="Q15" i="2"/>
  <c r="N16" i="2"/>
  <c r="J20" i="2" l="1"/>
  <c r="K20" i="2" s="1"/>
  <c r="C29" i="2"/>
  <c r="X32" i="1"/>
  <c r="U26" i="1"/>
  <c r="V26" i="1"/>
  <c r="W26" i="1"/>
  <c r="X26" i="1"/>
  <c r="U27" i="1"/>
  <c r="V27" i="1"/>
  <c r="W27" i="1"/>
  <c r="X27" i="1"/>
  <c r="U28" i="1"/>
  <c r="V28" i="1"/>
  <c r="W28" i="1"/>
  <c r="U29" i="1"/>
  <c r="V29" i="1"/>
  <c r="U30" i="1"/>
  <c r="V30" i="1"/>
  <c r="U31" i="1"/>
  <c r="V31" i="1"/>
  <c r="U32" i="1"/>
  <c r="V32" i="1"/>
  <c r="U33" i="1"/>
  <c r="D52" i="2" l="1"/>
  <c r="I50" i="2"/>
  <c r="H50" i="2"/>
  <c r="G50" i="2"/>
  <c r="F50" i="2"/>
  <c r="E50" i="2"/>
  <c r="D50" i="2"/>
  <c r="J13" i="2"/>
  <c r="K13" i="2" s="1"/>
  <c r="K11" i="2" s="1"/>
  <c r="K14" i="2" s="1"/>
  <c r="J12" i="2"/>
  <c r="K12" i="2" s="1"/>
  <c r="G29" i="2"/>
  <c r="F29" i="2"/>
  <c r="E29" i="2"/>
  <c r="D29" i="2"/>
  <c r="D54" i="2" l="1"/>
  <c r="D61" i="2"/>
  <c r="E52" i="2"/>
  <c r="C72" i="2" s="1"/>
  <c r="H52" i="2"/>
  <c r="I72" i="2" s="1"/>
  <c r="D55" i="2"/>
  <c r="H55" i="2" s="1"/>
  <c r="I75" i="2" s="1"/>
  <c r="D62" i="2"/>
  <c r="I62" i="2" s="1"/>
  <c r="K82" i="2" s="1"/>
  <c r="D56" i="2"/>
  <c r="G56" i="2" s="1"/>
  <c r="G76" i="2" s="1"/>
  <c r="D63" i="2"/>
  <c r="H63" i="2" s="1"/>
  <c r="I83" i="2" s="1"/>
  <c r="D53" i="2"/>
  <c r="I53" i="2" s="1"/>
  <c r="K73" i="2" s="1"/>
  <c r="D64" i="2"/>
  <c r="E64" i="2" s="1"/>
  <c r="C84" i="2" s="1"/>
  <c r="D58" i="2"/>
  <c r="H58" i="2" s="1"/>
  <c r="I78" i="2" s="1"/>
  <c r="D65" i="2"/>
  <c r="I65" i="2" s="1"/>
  <c r="K85" i="2" s="1"/>
  <c r="D59" i="2"/>
  <c r="G59" i="2" s="1"/>
  <c r="G79" i="2" s="1"/>
  <c r="D66" i="2"/>
  <c r="I66" i="2" s="1"/>
  <c r="K86" i="2" s="1"/>
  <c r="D60" i="2"/>
  <c r="F60" i="2" s="1"/>
  <c r="E80" i="2" s="1"/>
  <c r="D67" i="2"/>
  <c r="G67" i="2" s="1"/>
  <c r="G87" i="2" s="1"/>
  <c r="E46" i="2"/>
  <c r="F87" i="2" s="1"/>
  <c r="G44" i="2"/>
  <c r="J85" i="2" s="1"/>
  <c r="D43" i="2"/>
  <c r="D84" i="2" s="1"/>
  <c r="F41" i="2"/>
  <c r="H82" i="2" s="1"/>
  <c r="C40" i="2"/>
  <c r="B81" i="2" s="1"/>
  <c r="E38" i="2"/>
  <c r="F79" i="2" s="1"/>
  <c r="G36" i="2"/>
  <c r="J77" i="2" s="1"/>
  <c r="D35" i="2"/>
  <c r="D76" i="2" s="1"/>
  <c r="C34" i="2"/>
  <c r="B75" i="2" s="1"/>
  <c r="E44" i="2"/>
  <c r="F85" i="2" s="1"/>
  <c r="F39" i="2"/>
  <c r="H80" i="2" s="1"/>
  <c r="E36" i="2"/>
  <c r="F77" i="2" s="1"/>
  <c r="F42" i="2"/>
  <c r="H83" i="2" s="1"/>
  <c r="G37" i="2"/>
  <c r="J78" i="2" s="1"/>
  <c r="F32" i="2"/>
  <c r="H73" i="2" s="1"/>
  <c r="G40" i="2"/>
  <c r="J81" i="2" s="1"/>
  <c r="E32" i="2"/>
  <c r="F73" i="2" s="1"/>
  <c r="E45" i="2"/>
  <c r="F86" i="2" s="1"/>
  <c r="C39" i="2"/>
  <c r="B80" i="2" s="1"/>
  <c r="E33" i="2"/>
  <c r="F74" i="2" s="1"/>
  <c r="F43" i="2"/>
  <c r="H84" i="2" s="1"/>
  <c r="F35" i="2"/>
  <c r="H76" i="2" s="1"/>
  <c r="C32" i="2"/>
  <c r="B73" i="2" s="1"/>
  <c r="D46" i="2"/>
  <c r="D87" i="2" s="1"/>
  <c r="F44" i="2"/>
  <c r="H85" i="2" s="1"/>
  <c r="C43" i="2"/>
  <c r="B84" i="2" s="1"/>
  <c r="E41" i="2"/>
  <c r="F82" i="2" s="1"/>
  <c r="G39" i="2"/>
  <c r="J80" i="2" s="1"/>
  <c r="D38" i="2"/>
  <c r="D79" i="2" s="1"/>
  <c r="F36" i="2"/>
  <c r="H77" i="2" s="1"/>
  <c r="C35" i="2"/>
  <c r="B76" i="2" s="1"/>
  <c r="G31" i="2"/>
  <c r="J72" i="2" s="1"/>
  <c r="G42" i="2"/>
  <c r="J83" i="2" s="1"/>
  <c r="D41" i="2"/>
  <c r="D82" i="2" s="1"/>
  <c r="C38" i="2"/>
  <c r="B79" i="2" s="1"/>
  <c r="G32" i="2"/>
  <c r="J73" i="2" s="1"/>
  <c r="F31" i="2"/>
  <c r="H72" i="2" s="1"/>
  <c r="G45" i="2"/>
  <c r="J86" i="2" s="1"/>
  <c r="C41" i="2"/>
  <c r="B82" i="2" s="1"/>
  <c r="D36" i="2"/>
  <c r="D77" i="2" s="1"/>
  <c r="F37" i="2"/>
  <c r="H78" i="2" s="1"/>
  <c r="G34" i="2"/>
  <c r="J75" i="2" s="1"/>
  <c r="F40" i="2"/>
  <c r="H81" i="2" s="1"/>
  <c r="D32" i="2"/>
  <c r="D73" i="2" s="1"/>
  <c r="C42" i="2"/>
  <c r="B83" i="2" s="1"/>
  <c r="G38" i="2"/>
  <c r="J79" i="2" s="1"/>
  <c r="D33" i="2"/>
  <c r="D74" i="2" s="1"/>
  <c r="C46" i="2"/>
  <c r="B87" i="2" s="1"/>
  <c r="K15" i="2"/>
  <c r="J15" i="2" s="1"/>
  <c r="D44" i="2"/>
  <c r="D85" i="2" s="1"/>
  <c r="E39" i="2"/>
  <c r="F80" i="2" s="1"/>
  <c r="E31" i="2"/>
  <c r="F72" i="2" s="1"/>
  <c r="E42" i="2"/>
  <c r="F83" i="2" s="1"/>
  <c r="C36" i="2"/>
  <c r="B77" i="2" s="1"/>
  <c r="D31" i="2"/>
  <c r="D72" i="2" s="1"/>
  <c r="D42" i="2"/>
  <c r="D83" i="2" s="1"/>
  <c r="E37" i="2"/>
  <c r="F78" i="2" s="1"/>
  <c r="B72" i="2"/>
  <c r="G46" i="2"/>
  <c r="J87" i="2" s="1"/>
  <c r="E40" i="2"/>
  <c r="F81" i="2" s="1"/>
  <c r="E34" i="2"/>
  <c r="F75" i="2" s="1"/>
  <c r="G33" i="2"/>
  <c r="J74" i="2" s="1"/>
  <c r="F34" i="2"/>
  <c r="H75" i="2" s="1"/>
  <c r="D45" i="2"/>
  <c r="D86" i="2" s="1"/>
  <c r="D37" i="2"/>
  <c r="D78" i="2" s="1"/>
  <c r="F45" i="2"/>
  <c r="H86" i="2" s="1"/>
  <c r="C44" i="2"/>
  <c r="B85" i="2" s="1"/>
  <c r="D39" i="2"/>
  <c r="D80" i="2" s="1"/>
  <c r="F33" i="2"/>
  <c r="H74" i="2" s="1"/>
  <c r="G43" i="2"/>
  <c r="J84" i="2" s="1"/>
  <c r="G35" i="2"/>
  <c r="J76" i="2" s="1"/>
  <c r="E43" i="2"/>
  <c r="F84" i="2" s="1"/>
  <c r="C33" i="2"/>
  <c r="B74" i="2" s="1"/>
  <c r="C45" i="2"/>
  <c r="B86" i="2" s="1"/>
  <c r="E61" i="2"/>
  <c r="C81" i="2" s="1"/>
  <c r="H61" i="2"/>
  <c r="I81" i="2" s="1"/>
  <c r="I61" i="2"/>
  <c r="K81" i="2" s="1"/>
  <c r="F61" i="2"/>
  <c r="E81" i="2" s="1"/>
  <c r="G61" i="2"/>
  <c r="G81" i="2" s="1"/>
  <c r="F46" i="2"/>
  <c r="H87" i="2" s="1"/>
  <c r="G54" i="2"/>
  <c r="G74" i="2" s="1"/>
  <c r="I54" i="2"/>
  <c r="K74" i="2" s="1"/>
  <c r="F54" i="2"/>
  <c r="E74" i="2" s="1"/>
  <c r="H54" i="2"/>
  <c r="I74" i="2" s="1"/>
  <c r="C37" i="2"/>
  <c r="B78" i="2" s="1"/>
  <c r="G52" i="2"/>
  <c r="G72" i="2" s="1"/>
  <c r="D34" i="2"/>
  <c r="D75" i="2" s="1"/>
  <c r="E35" i="2"/>
  <c r="F76" i="2" s="1"/>
  <c r="J11" i="2"/>
  <c r="J14" i="2" s="1"/>
  <c r="F38" i="2"/>
  <c r="H79" i="2" s="1"/>
  <c r="E54" i="2"/>
  <c r="C74" i="2" s="1"/>
  <c r="D40" i="2"/>
  <c r="D81" i="2" s="1"/>
  <c r="G41" i="2"/>
  <c r="J82" i="2" s="1"/>
  <c r="F52" i="2"/>
  <c r="E72" i="2" s="1"/>
  <c r="D57" i="2"/>
  <c r="G57" i="2" s="1"/>
  <c r="G77" i="2" s="1"/>
  <c r="I52" i="2"/>
  <c r="K72" i="2" s="1"/>
  <c r="C38" i="1"/>
  <c r="H56" i="2" l="1"/>
  <c r="I76" i="2" s="1"/>
  <c r="I55" i="2"/>
  <c r="K75" i="2" s="1"/>
  <c r="H59" i="2"/>
  <c r="I79" i="2" s="1"/>
  <c r="F59" i="2"/>
  <c r="E79" i="2" s="1"/>
  <c r="E55" i="2"/>
  <c r="C75" i="2" s="1"/>
  <c r="G55" i="2"/>
  <c r="G75" i="2" s="1"/>
  <c r="F55" i="2"/>
  <c r="E75" i="2" s="1"/>
  <c r="I59" i="2"/>
  <c r="K79" i="2" s="1"/>
  <c r="G53" i="2"/>
  <c r="G73" i="2" s="1"/>
  <c r="G60" i="2"/>
  <c r="G80" i="2" s="1"/>
  <c r="G66" i="2"/>
  <c r="G86" i="2" s="1"/>
  <c r="E56" i="2"/>
  <c r="C76" i="2" s="1"/>
  <c r="H62" i="2"/>
  <c r="I82" i="2" s="1"/>
  <c r="F56" i="2"/>
  <c r="E76" i="2" s="1"/>
  <c r="F66" i="2"/>
  <c r="E86" i="2" s="1"/>
  <c r="E59" i="2"/>
  <c r="C79" i="2" s="1"/>
  <c r="I56" i="2"/>
  <c r="K76" i="2" s="1"/>
  <c r="I64" i="2"/>
  <c r="K84" i="2" s="1"/>
  <c r="E57" i="2"/>
  <c r="C77" i="2" s="1"/>
  <c r="F57" i="2"/>
  <c r="E77" i="2" s="1"/>
  <c r="G62" i="2"/>
  <c r="G82" i="2" s="1"/>
  <c r="H60" i="2"/>
  <c r="I80" i="2" s="1"/>
  <c r="E62" i="2"/>
  <c r="C82" i="2" s="1"/>
  <c r="H64" i="2"/>
  <c r="I84" i="2" s="1"/>
  <c r="H53" i="2"/>
  <c r="I73" i="2" s="1"/>
  <c r="G64" i="2"/>
  <c r="G84" i="2" s="1"/>
  <c r="F65" i="2"/>
  <c r="E85" i="2" s="1"/>
  <c r="G65" i="2"/>
  <c r="G85" i="2" s="1"/>
  <c r="H65" i="2"/>
  <c r="I85" i="2" s="1"/>
  <c r="E53" i="2"/>
  <c r="C73" i="2" s="1"/>
  <c r="F62" i="2"/>
  <c r="E82" i="2" s="1"/>
  <c r="E65" i="2"/>
  <c r="C85" i="2" s="1"/>
  <c r="F53" i="2"/>
  <c r="E73" i="2" s="1"/>
  <c r="G58" i="2"/>
  <c r="G78" i="2" s="1"/>
  <c r="F63" i="2"/>
  <c r="E83" i="2" s="1"/>
  <c r="I58" i="2"/>
  <c r="K78" i="2" s="1"/>
  <c r="F64" i="2"/>
  <c r="E84" i="2" s="1"/>
  <c r="E63" i="2"/>
  <c r="C83" i="2" s="1"/>
  <c r="I67" i="2"/>
  <c r="K87" i="2" s="1"/>
  <c r="H67" i="2"/>
  <c r="I87" i="2" s="1"/>
  <c r="F67" i="2"/>
  <c r="E87" i="2" s="1"/>
  <c r="I63" i="2"/>
  <c r="K83" i="2" s="1"/>
  <c r="E58" i="2"/>
  <c r="C78" i="2" s="1"/>
  <c r="F58" i="2"/>
  <c r="E78" i="2" s="1"/>
  <c r="E66" i="2"/>
  <c r="C86" i="2" s="1"/>
  <c r="E67" i="2"/>
  <c r="C87" i="2" s="1"/>
  <c r="G63" i="2"/>
  <c r="G83" i="2" s="1"/>
  <c r="E60" i="2"/>
  <c r="C80" i="2" s="1"/>
  <c r="I60" i="2"/>
  <c r="K80" i="2" s="1"/>
  <c r="H66" i="2"/>
  <c r="I86" i="2" s="1"/>
  <c r="I57" i="2"/>
  <c r="K77" i="2" s="1"/>
  <c r="H57" i="2"/>
  <c r="I77" i="2" s="1"/>
  <c r="C103" i="2"/>
  <c r="B105" i="2"/>
  <c r="B103" i="2"/>
  <c r="D104" i="2"/>
  <c r="D102" i="2"/>
  <c r="C102" i="2"/>
  <c r="E101" i="2"/>
  <c r="E98" i="2"/>
  <c r="D94" i="2"/>
  <c r="C100" i="2"/>
  <c r="D97" i="2"/>
  <c r="E99" i="2"/>
  <c r="E105" i="2"/>
  <c r="C93" i="2"/>
  <c r="B106" i="2"/>
  <c r="D103" i="2"/>
  <c r="E96" i="2"/>
  <c r="E100" i="2"/>
  <c r="B96" i="2"/>
  <c r="C96" i="2"/>
  <c r="C98" i="2"/>
  <c r="E92" i="2"/>
  <c r="D98" i="2"/>
  <c r="C94" i="2"/>
  <c r="E102" i="2"/>
  <c r="B101" i="2"/>
  <c r="D93" i="2"/>
  <c r="D105" i="2"/>
  <c r="C104" i="2"/>
  <c r="C92" i="2"/>
  <c r="B95" i="2"/>
  <c r="B104" i="2"/>
  <c r="B92" i="2"/>
  <c r="C97" i="2"/>
  <c r="B99" i="2"/>
  <c r="B100" i="2"/>
  <c r="D106" i="2"/>
  <c r="D95" i="2"/>
  <c r="D96" i="2"/>
  <c r="B94" i="2"/>
  <c r="D99" i="2"/>
  <c r="D92" i="2"/>
  <c r="E93" i="2"/>
  <c r="E104" i="2"/>
  <c r="E106" i="2"/>
  <c r="E97" i="2"/>
  <c r="D101" i="2"/>
  <c r="C106" i="2"/>
  <c r="B102" i="2"/>
  <c r="E95" i="2"/>
  <c r="E94" i="2"/>
  <c r="D100" i="2"/>
  <c r="B93" i="2"/>
  <c r="C99" i="2"/>
  <c r="C105" i="2"/>
  <c r="B97" i="2"/>
  <c r="B98" i="2"/>
  <c r="C101" i="2"/>
  <c r="C95" i="2"/>
  <c r="E103" i="2"/>
  <c r="B108" i="2" l="1"/>
  <c r="B120" i="2" s="1"/>
  <c r="C108" i="2"/>
  <c r="D108" i="2"/>
  <c r="E108" i="2"/>
  <c r="C120" i="2" l="1"/>
  <c r="C117" i="2"/>
  <c r="C121" i="2"/>
  <c r="D115" i="2"/>
  <c r="C119" i="2"/>
  <c r="C122" i="2"/>
  <c r="D117" i="2"/>
  <c r="D116" i="2"/>
  <c r="D118" i="2"/>
  <c r="B119" i="2"/>
  <c r="C116" i="2"/>
  <c r="C118" i="2"/>
  <c r="B122" i="2"/>
  <c r="B121" i="2"/>
  <c r="C115" i="2"/>
  <c r="E122" i="2"/>
  <c r="E120" i="2"/>
  <c r="F118" i="2"/>
  <c r="F116" i="2"/>
  <c r="E119" i="2"/>
  <c r="F115" i="2"/>
  <c r="F117" i="2"/>
  <c r="E121" i="2"/>
  <c r="D120" i="2"/>
  <c r="E118" i="2"/>
  <c r="E116" i="2"/>
  <c r="D119" i="2"/>
  <c r="E117" i="2"/>
  <c r="D122" i="2"/>
  <c r="E115" i="2"/>
  <c r="D121" i="2"/>
  <c r="H28" i="1"/>
  <c r="K28" i="1" s="1"/>
  <c r="H29" i="1"/>
  <c r="K29" i="1" s="1"/>
  <c r="H30" i="1"/>
  <c r="K30" i="1" s="1"/>
  <c r="C112" i="2" l="1"/>
  <c r="E112" i="2"/>
  <c r="D112" i="2"/>
  <c r="B112" i="2"/>
  <c r="D111" i="2"/>
  <c r="C111" i="2"/>
  <c r="E111" i="2"/>
  <c r="F111" i="2"/>
  <c r="G30" i="1"/>
  <c r="J30" i="1" s="1"/>
  <c r="D41" i="1"/>
  <c r="G31" i="1"/>
  <c r="J31" i="1" s="1"/>
  <c r="D43" i="1"/>
  <c r="G29" i="1"/>
  <c r="J29" i="1" s="1"/>
  <c r="D39" i="1"/>
  <c r="G38" i="1" s="1"/>
  <c r="H31" i="1"/>
  <c r="K31" i="1" s="1"/>
  <c r="D29" i="1" l="1"/>
  <c r="E28" i="1"/>
  <c r="X28" i="1" s="1"/>
  <c r="D30" i="1"/>
  <c r="W30" i="1" s="1"/>
  <c r="D31" i="1"/>
  <c r="W31" i="1" s="1"/>
  <c r="E29" i="1"/>
  <c r="X29" i="1" s="1"/>
  <c r="E30" i="1"/>
  <c r="Q13" i="2" s="1"/>
  <c r="E31" i="1"/>
  <c r="Q14" i="2" s="1"/>
  <c r="W29" i="1"/>
  <c r="P12" i="2"/>
  <c r="C40" i="1"/>
  <c r="D44" i="1"/>
  <c r="D42" i="1"/>
  <c r="G40" i="1" s="1"/>
  <c r="D40" i="1"/>
  <c r="G39" i="1" s="1"/>
  <c r="G32" i="1"/>
  <c r="J32" i="1" s="1"/>
  <c r="D45" i="1"/>
  <c r="D32" i="1"/>
  <c r="C39" i="1" l="1"/>
  <c r="Q11" i="2"/>
  <c r="X30" i="1"/>
  <c r="P14" i="2"/>
  <c r="C44" i="1"/>
  <c r="C43" i="1"/>
  <c r="X31" i="1"/>
  <c r="C45" i="1"/>
  <c r="C47" i="1" s="1"/>
  <c r="C41" i="1"/>
  <c r="H39" i="1" s="1"/>
  <c r="H42" i="1" s="1"/>
  <c r="C42" i="1"/>
  <c r="Q12" i="2"/>
  <c r="P13" i="2"/>
  <c r="W32" i="1"/>
  <c r="P15" i="2"/>
  <c r="C46" i="1"/>
  <c r="D46" i="1"/>
  <c r="D47" i="1" s="1"/>
  <c r="G42" i="1" s="1"/>
  <c r="G41" i="1"/>
  <c r="H40" i="1" l="1"/>
  <c r="H41" i="1"/>
  <c r="H38" i="1"/>
</calcChain>
</file>

<file path=xl/sharedStrings.xml><?xml version="1.0" encoding="utf-8"?>
<sst xmlns="http://schemas.openxmlformats.org/spreadsheetml/2006/main" count="116" uniqueCount="61">
  <si>
    <t>RPM</t>
  </si>
  <si>
    <t>Nm</t>
  </si>
  <si>
    <t>Hp</t>
  </si>
  <si>
    <t>Final Drive</t>
  </si>
  <si>
    <t>1st</t>
  </si>
  <si>
    <t>2nd</t>
  </si>
  <si>
    <t>3rd</t>
  </si>
  <si>
    <t>4th</t>
  </si>
  <si>
    <t>5th</t>
  </si>
  <si>
    <t>Tyre Size</t>
  </si>
  <si>
    <t>Diameter</t>
  </si>
  <si>
    <t>Width</t>
  </si>
  <si>
    <t>Sidewall</t>
  </si>
  <si>
    <t>Circum.</t>
  </si>
  <si>
    <t>Imperical</t>
  </si>
  <si>
    <t>Metric</t>
  </si>
  <si>
    <t>Revs/mile</t>
  </si>
  <si>
    <t>Speed (mph)</t>
  </si>
  <si>
    <t>Min</t>
  </si>
  <si>
    <t>Max</t>
  </si>
  <si>
    <t>-</t>
  </si>
  <si>
    <t>R</t>
  </si>
  <si>
    <t>/</t>
  </si>
  <si>
    <t>Gear</t>
  </si>
  <si>
    <t>mm | in</t>
  </si>
  <si>
    <t>km | mile</t>
  </si>
  <si>
    <t>Torque ft lbs</t>
  </si>
  <si>
    <t>© 2019</t>
  </si>
  <si>
    <t>www.yourdatadriven.com</t>
  </si>
  <si>
    <t xml:space="preserve">Optimum Gear Shift Points </t>
  </si>
  <si>
    <t>RPM TABLE</t>
  </si>
  <si>
    <t>Speed (kph)</t>
  </si>
  <si>
    <t>Workings</t>
  </si>
  <si>
    <t>Tyre Data</t>
  </si>
  <si>
    <t>Revs</t>
  </si>
  <si>
    <t>Max Torque</t>
  </si>
  <si>
    <t>Max Hp</t>
  </si>
  <si>
    <t>Rounded to nearest 100 RPM</t>
  </si>
  <si>
    <t>Gear ratio:</t>
  </si>
  <si>
    <t>Torque (ft lbs)</t>
  </si>
  <si>
    <t>Torque v Revs</t>
  </si>
  <si>
    <t xml:space="preserve">Inputs: Your Racing Car Data </t>
  </si>
  <si>
    <t>Engine Data</t>
  </si>
  <si>
    <t>Ratio</t>
  </si>
  <si>
    <t>Gearing</t>
  </si>
  <si>
    <t>Torque Nm</t>
  </si>
  <si>
    <t>Ft lb</t>
  </si>
  <si>
    <t>Use:</t>
  </si>
  <si>
    <t>ft lb</t>
  </si>
  <si>
    <t>ft lb conv</t>
  </si>
  <si>
    <t>Toggle result:</t>
  </si>
  <si>
    <t>v0-14</t>
  </si>
  <si>
    <t>Change Log</t>
  </si>
  <si>
    <t>v0.14</t>
  </si>
  <si>
    <t>Added toggle for ft or Nm torque input</t>
  </si>
  <si>
    <t>Changed ref for torque to workings sheet</t>
  </si>
  <si>
    <t xml:space="preserve">Added calc column to convert Nm </t>
  </si>
  <si>
    <t>Added link ref for revs in workings sheet</t>
  </si>
  <si>
    <t>Moved hp chart refs to working sheet</t>
  </si>
  <si>
    <t>Updated max ref figures to be working sheet</t>
  </si>
  <si>
    <t>Added error capture calc for all gears (prev first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</si>
</sst>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0"/>
  </numFmts>
  <fonts count="1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0"/>
      <color theme="1"/>
      <name val="Arial"/>
      <family val="2"/>
    </font>
    <font>
      <i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1" fillId="2" borderId="0" xfId="0" applyFont="1" applyFill="1"/>
    <xf numFmtId="0" fontId="0" fillId="2" borderId="0" xfId="0" applyFill="1"/>
    <xf numFmtId="165" fontId="0" fillId="2" borderId="0" xfId="0" applyNumberFormat="1" applyFill="1"/>
    <xf numFmtId="1" fontId="0" fillId="2" borderId="0" xfId="0" applyNumberFormat="1" applyFill="1"/>
    <xf numFmtId="0" fontId="0" fillId="3" borderId="0" xfId="0" applyFill="1"/>
    <xf numFmtId="166" fontId="0" fillId="2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3" fillId="3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1" fontId="0" fillId="3" borderId="0" xfId="0" applyNumberForma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2" borderId="0" xfId="1" applyFill="1"/>
    <xf numFmtId="0" fontId="4" fillId="2" borderId="1" xfId="0" applyFont="1" applyFill="1" applyBorder="1"/>
    <xf numFmtId="0" fontId="0" fillId="2" borderId="1" xfId="0" applyFill="1" applyBorder="1"/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" fontId="8" fillId="3" borderId="0" xfId="0" applyNumberFormat="1" applyFont="1" applyFill="1" applyAlignment="1">
      <alignment horizontal="center"/>
    </xf>
    <xf numFmtId="0" fontId="9" fillId="3" borderId="0" xfId="0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3" borderId="0" xfId="0" applyFont="1" applyFill="1"/>
    <xf numFmtId="165" fontId="10" fillId="3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right"/>
    </xf>
    <xf numFmtId="0" fontId="11" fillId="3" borderId="0" xfId="0" applyFont="1" applyFill="1" applyAlignment="1">
      <alignment horizontal="center"/>
    </xf>
    <xf numFmtId="0" fontId="0" fillId="2" borderId="0" xfId="0" applyFill="1" applyAlignment="1">
      <alignment horizontal="right"/>
    </xf>
    <xf numFmtId="165" fontId="2" fillId="2" borderId="0" xfId="0" applyNumberFormat="1" applyFont="1" applyFill="1" applyAlignment="1">
      <alignment horizontal="center"/>
    </xf>
    <xf numFmtId="0" fontId="6" fillId="2" borderId="0" xfId="0" applyFont="1" applyFill="1"/>
    <xf numFmtId="0" fontId="0" fillId="3" borderId="0" xfId="0" quotePrefix="1" applyFill="1" applyAlignment="1">
      <alignment horizontal="center"/>
    </xf>
    <xf numFmtId="2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2" borderId="0" xfId="0" applyFill="1" applyAlignment="1">
      <alignment horizontal="right" vertical="center"/>
    </xf>
    <xf numFmtId="2" fontId="0" fillId="2" borderId="0" xfId="0" applyNumberFormat="1" applyFill="1"/>
    <xf numFmtId="0" fontId="0" fillId="2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6" fillId="3" borderId="0" xfId="0" applyFont="1" applyFill="1" applyAlignment="1">
      <alignment horizontal="center" vertical="center" textRotation="90"/>
    </xf>
    <xf numFmtId="0" fontId="0" fillId="3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Torque</a:t>
            </a:r>
            <a:r>
              <a:rPr lang="en-US" baseline="0"/>
              <a:t> in each Gear (Torque at Wheel ft lbs v Speed mph)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workings!$B$71</c:f>
              <c:strCache>
                <c:ptCount val="1"/>
                <c:pt idx="0">
                  <c:v>1st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workings!$B$72:$B$87</c:f>
              <c:numCache>
                <c:formatCode>0.0</c:formatCode>
                <c:ptCount val="16"/>
                <c:pt idx="0">
                  <c:v>2.7657235374385221</c:v>
                </c:pt>
                <c:pt idx="1">
                  <c:v>5.5314470748770441</c:v>
                </c:pt>
                <c:pt idx="2">
                  <c:v>8.2971706123155666</c:v>
                </c:pt>
                <c:pt idx="3">
                  <c:v>11.062894149754088</c:v>
                </c:pt>
                <c:pt idx="4">
                  <c:v>13.828617687192608</c:v>
                </c:pt>
                <c:pt idx="5">
                  <c:v>16.594341224631133</c:v>
                </c:pt>
                <c:pt idx="6">
                  <c:v>19.360064762069655</c:v>
                </c:pt>
                <c:pt idx="7">
                  <c:v>22.125788299508176</c:v>
                </c:pt>
                <c:pt idx="8">
                  <c:v>24.891511836946702</c:v>
                </c:pt>
                <c:pt idx="9">
                  <c:v>27.657235374385216</c:v>
                </c:pt>
                <c:pt idx="10">
                  <c:v>30.422958911823741</c:v>
                </c:pt>
                <c:pt idx="11">
                  <c:v>33.188682449262267</c:v>
                </c:pt>
                <c:pt idx="12">
                  <c:v>35.954405986700792</c:v>
                </c:pt>
                <c:pt idx="13">
                  <c:v>38.72012952413931</c:v>
                </c:pt>
                <c:pt idx="14">
                  <c:v>41.485853061577835</c:v>
                </c:pt>
                <c:pt idx="15">
                  <c:v>44.251576599016353</c:v>
                </c:pt>
              </c:numCache>
            </c:numRef>
          </c:xVal>
          <c:yVal>
            <c:numRef>
              <c:f>workings!$C$72:$C$87</c:f>
              <c:numCache>
                <c:formatCode>0</c:formatCode>
                <c:ptCount val="16"/>
                <c:pt idx="0">
                  <c:v>122.304</c:v>
                </c:pt>
                <c:pt idx="1">
                  <c:v>366.91200000000003</c:v>
                </c:pt>
                <c:pt idx="2">
                  <c:v>611.52</c:v>
                </c:pt>
                <c:pt idx="3">
                  <c:v>917.28000000000009</c:v>
                </c:pt>
                <c:pt idx="4">
                  <c:v>1223.04</c:v>
                </c:pt>
                <c:pt idx="5">
                  <c:v>1406.4960000000001</c:v>
                </c:pt>
                <c:pt idx="6">
                  <c:v>1516.5696</c:v>
                </c:pt>
                <c:pt idx="7">
                  <c:v>1651.104</c:v>
                </c:pt>
                <c:pt idx="8">
                  <c:v>1712.2560000000001</c:v>
                </c:pt>
                <c:pt idx="9">
                  <c:v>1712.2560000000001</c:v>
                </c:pt>
                <c:pt idx="10">
                  <c:v>1626.6431999999998</c:v>
                </c:pt>
                <c:pt idx="11">
                  <c:v>1492.1088000000002</c:v>
                </c:pt>
                <c:pt idx="12">
                  <c:v>1345.3440000000001</c:v>
                </c:pt>
                <c:pt idx="13">
                  <c:v>1223.04</c:v>
                </c:pt>
                <c:pt idx="14">
                  <c:v>1100.7360000000001</c:v>
                </c:pt>
                <c:pt idx="15">
                  <c:v>978.43200000000002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0-F74D-877F-6465DBA0A4EE}"/>
            </c:ext>
          </c:extLst>
        </c:ser>
        <c:ser>
          <c:idx val="1"/>
          <c:order val="1"/>
          <c:tx>
            <c:strRef>
              <c:f>workings!$D$71</c:f>
              <c:strCache>
                <c:ptCount val="1"/>
                <c:pt idx="0">
                  <c:v>2nd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workings!$D$72:$D$87</c:f>
              <c:numCache>
                <c:formatCode>0.0</c:formatCode>
                <c:ptCount val="16"/>
                <c:pt idx="0">
                  <c:v>4.5939136723555123</c:v>
                </c:pt>
                <c:pt idx="1">
                  <c:v>9.1878273447110246</c:v>
                </c:pt>
                <c:pt idx="2">
                  <c:v>13.781741017066535</c:v>
                </c:pt>
                <c:pt idx="3">
                  <c:v>18.375654689422049</c:v>
                </c:pt>
                <c:pt idx="4">
                  <c:v>22.969568361777554</c:v>
                </c:pt>
                <c:pt idx="5">
                  <c:v>27.56348203413307</c:v>
                </c:pt>
                <c:pt idx="6">
                  <c:v>32.157395706488586</c:v>
                </c:pt>
                <c:pt idx="7">
                  <c:v>36.751309378844098</c:v>
                </c:pt>
                <c:pt idx="8">
                  <c:v>41.345223051199604</c:v>
                </c:pt>
                <c:pt idx="9">
                  <c:v>45.939136723555109</c:v>
                </c:pt>
                <c:pt idx="10">
                  <c:v>50.533050395910621</c:v>
                </c:pt>
                <c:pt idx="11">
                  <c:v>55.12696406826614</c:v>
                </c:pt>
                <c:pt idx="12">
                  <c:v>59.720877740621653</c:v>
                </c:pt>
                <c:pt idx="13">
                  <c:v>64.314791412977172</c:v>
                </c:pt>
                <c:pt idx="14">
                  <c:v>68.908705085332684</c:v>
                </c:pt>
                <c:pt idx="15">
                  <c:v>73.502618757688197</c:v>
                </c:pt>
              </c:numCache>
            </c:numRef>
          </c:xVal>
          <c:yVal>
            <c:numRef>
              <c:f>workings!$E$72:$E$87</c:f>
              <c:numCache>
                <c:formatCode>0</c:formatCode>
                <c:ptCount val="16"/>
                <c:pt idx="0">
                  <c:v>73.631999999999991</c:v>
                </c:pt>
                <c:pt idx="1">
                  <c:v>220.89599999999999</c:v>
                </c:pt>
                <c:pt idx="2">
                  <c:v>368.15999999999997</c:v>
                </c:pt>
                <c:pt idx="3">
                  <c:v>552.24</c:v>
                </c:pt>
                <c:pt idx="4">
                  <c:v>736.31999999999994</c:v>
                </c:pt>
                <c:pt idx="5">
                  <c:v>846.76799999999992</c:v>
                </c:pt>
                <c:pt idx="6">
                  <c:v>913.03679999999986</c:v>
                </c:pt>
                <c:pt idx="7">
                  <c:v>994.03199999999993</c:v>
                </c:pt>
                <c:pt idx="8">
                  <c:v>1030.848</c:v>
                </c:pt>
                <c:pt idx="9">
                  <c:v>1030.848</c:v>
                </c:pt>
                <c:pt idx="10">
                  <c:v>979.3055999999998</c:v>
                </c:pt>
                <c:pt idx="11">
                  <c:v>898.31039999999996</c:v>
                </c:pt>
                <c:pt idx="12">
                  <c:v>809.952</c:v>
                </c:pt>
                <c:pt idx="13">
                  <c:v>736.31999999999994</c:v>
                </c:pt>
                <c:pt idx="14">
                  <c:v>662.68799999999999</c:v>
                </c:pt>
                <c:pt idx="15">
                  <c:v>589.05599999999993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60-F74D-877F-6465DBA0A4EE}"/>
            </c:ext>
          </c:extLst>
        </c:ser>
        <c:ser>
          <c:idx val="2"/>
          <c:order val="2"/>
          <c:tx>
            <c:strRef>
              <c:f>workings!$F$71</c:f>
              <c:strCache>
                <c:ptCount val="1"/>
                <c:pt idx="0">
                  <c:v>3rd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workings!$F$72:$F$87</c:f>
              <c:numCache>
                <c:formatCode>0.0</c:formatCode>
                <c:ptCount val="16"/>
                <c:pt idx="0">
                  <c:v>6.5212849724866206</c:v>
                </c:pt>
                <c:pt idx="1">
                  <c:v>13.042569944973241</c:v>
                </c:pt>
                <c:pt idx="2">
                  <c:v>19.56385491745986</c:v>
                </c:pt>
                <c:pt idx="3">
                  <c:v>26.085139889946483</c:v>
                </c:pt>
                <c:pt idx="4">
                  <c:v>32.606424862433094</c:v>
                </c:pt>
                <c:pt idx="5">
                  <c:v>39.12770983491972</c:v>
                </c:pt>
                <c:pt idx="6">
                  <c:v>45.648994807406339</c:v>
                </c:pt>
                <c:pt idx="7">
                  <c:v>52.170279779892965</c:v>
                </c:pt>
                <c:pt idx="8">
                  <c:v>58.691564752379584</c:v>
                </c:pt>
                <c:pt idx="9">
                  <c:v>65.212849724866189</c:v>
                </c:pt>
                <c:pt idx="10">
                  <c:v>71.734134697352815</c:v>
                </c:pt>
                <c:pt idx="11">
                  <c:v>78.255419669839441</c:v>
                </c:pt>
                <c:pt idx="12">
                  <c:v>84.776704642326067</c:v>
                </c:pt>
                <c:pt idx="13">
                  <c:v>91.297989614812678</c:v>
                </c:pt>
                <c:pt idx="14">
                  <c:v>97.819274587299304</c:v>
                </c:pt>
                <c:pt idx="15">
                  <c:v>104.34055955978593</c:v>
                </c:pt>
              </c:numCache>
            </c:numRef>
          </c:xVal>
          <c:yVal>
            <c:numRef>
              <c:f>workings!$G$72:$G$87</c:f>
              <c:numCache>
                <c:formatCode>0</c:formatCode>
                <c:ptCount val="16"/>
                <c:pt idx="0">
                  <c:v>51.870000000000005</c:v>
                </c:pt>
                <c:pt idx="1">
                  <c:v>155.61000000000001</c:v>
                </c:pt>
                <c:pt idx="2">
                  <c:v>259.35000000000002</c:v>
                </c:pt>
                <c:pt idx="3">
                  <c:v>389.02500000000003</c:v>
                </c:pt>
                <c:pt idx="4">
                  <c:v>518.70000000000005</c:v>
                </c:pt>
                <c:pt idx="5">
                  <c:v>596.505</c:v>
                </c:pt>
                <c:pt idx="6">
                  <c:v>643.18799999999999</c:v>
                </c:pt>
                <c:pt idx="7">
                  <c:v>700.245</c:v>
                </c:pt>
                <c:pt idx="8">
                  <c:v>726.18000000000006</c:v>
                </c:pt>
                <c:pt idx="9">
                  <c:v>726.18000000000006</c:v>
                </c:pt>
                <c:pt idx="10">
                  <c:v>689.87099999999998</c:v>
                </c:pt>
                <c:pt idx="11">
                  <c:v>632.81400000000008</c:v>
                </c:pt>
                <c:pt idx="12">
                  <c:v>570.57000000000005</c:v>
                </c:pt>
                <c:pt idx="13">
                  <c:v>518.70000000000005</c:v>
                </c:pt>
                <c:pt idx="14">
                  <c:v>466.83000000000004</c:v>
                </c:pt>
                <c:pt idx="15">
                  <c:v>414.96000000000004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60-F74D-877F-6465DBA0A4EE}"/>
            </c:ext>
          </c:extLst>
        </c:ser>
        <c:ser>
          <c:idx val="3"/>
          <c:order val="3"/>
          <c:tx>
            <c:strRef>
              <c:f>workings!$H$71</c:f>
              <c:strCache>
                <c:ptCount val="1"/>
                <c:pt idx="0">
                  <c:v>4th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workings!$H$72:$H$87</c:f>
              <c:numCache>
                <c:formatCode>0.0</c:formatCode>
                <c:ptCount val="16"/>
                <c:pt idx="0">
                  <c:v>8.6733090134072057</c:v>
                </c:pt>
                <c:pt idx="1">
                  <c:v>17.346618026814411</c:v>
                </c:pt>
                <c:pt idx="2">
                  <c:v>26.019927040221617</c:v>
                </c:pt>
                <c:pt idx="3">
                  <c:v>34.693236053628823</c:v>
                </c:pt>
                <c:pt idx="4">
                  <c:v>43.366545067036022</c:v>
                </c:pt>
                <c:pt idx="5">
                  <c:v>52.039854080443234</c:v>
                </c:pt>
                <c:pt idx="6">
                  <c:v>60.71316309385044</c:v>
                </c:pt>
                <c:pt idx="7">
                  <c:v>69.386472107257646</c:v>
                </c:pt>
                <c:pt idx="8">
                  <c:v>78.059781120664852</c:v>
                </c:pt>
                <c:pt idx="9">
                  <c:v>86.733090134072043</c:v>
                </c:pt>
                <c:pt idx="10">
                  <c:v>95.406399147479249</c:v>
                </c:pt>
                <c:pt idx="11">
                  <c:v>104.07970816088647</c:v>
                </c:pt>
                <c:pt idx="12">
                  <c:v>112.75301717429367</c:v>
                </c:pt>
                <c:pt idx="13">
                  <c:v>121.42632618770088</c:v>
                </c:pt>
                <c:pt idx="14">
                  <c:v>130.09963520110807</c:v>
                </c:pt>
                <c:pt idx="15">
                  <c:v>138.77294421451529</c:v>
                </c:pt>
              </c:numCache>
            </c:numRef>
          </c:xVal>
          <c:yVal>
            <c:numRef>
              <c:f>workings!$I$72:$I$87</c:f>
              <c:numCache>
                <c:formatCode>0</c:formatCode>
                <c:ptCount val="16"/>
                <c:pt idx="0">
                  <c:v>39</c:v>
                </c:pt>
                <c:pt idx="1">
                  <c:v>117</c:v>
                </c:pt>
                <c:pt idx="2">
                  <c:v>195</c:v>
                </c:pt>
                <c:pt idx="3">
                  <c:v>292.5</c:v>
                </c:pt>
                <c:pt idx="4">
                  <c:v>390</c:v>
                </c:pt>
                <c:pt idx="5">
                  <c:v>448.5</c:v>
                </c:pt>
                <c:pt idx="6">
                  <c:v>483.59999999999997</c:v>
                </c:pt>
                <c:pt idx="7">
                  <c:v>526.5</c:v>
                </c:pt>
                <c:pt idx="8">
                  <c:v>546</c:v>
                </c:pt>
                <c:pt idx="9">
                  <c:v>546</c:v>
                </c:pt>
                <c:pt idx="10">
                  <c:v>518.69999999999993</c:v>
                </c:pt>
                <c:pt idx="11">
                  <c:v>475.8</c:v>
                </c:pt>
                <c:pt idx="12">
                  <c:v>429</c:v>
                </c:pt>
                <c:pt idx="13">
                  <c:v>390</c:v>
                </c:pt>
                <c:pt idx="14">
                  <c:v>351</c:v>
                </c:pt>
                <c:pt idx="15">
                  <c:v>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60-F74D-877F-6465DBA0A4EE}"/>
            </c:ext>
          </c:extLst>
        </c:ser>
        <c:ser>
          <c:idx val="4"/>
          <c:order val="4"/>
          <c:tx>
            <c:strRef>
              <c:f>workings!$J$71</c:f>
              <c:strCache>
                <c:ptCount val="1"/>
                <c:pt idx="0">
                  <c:v>5th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workings!$J$72:$J$87</c:f>
              <c:numCache>
                <c:formatCode>0.0</c:formatCode>
                <c:ptCount val="16"/>
                <c:pt idx="0">
                  <c:v>10.65517077814153</c:v>
                </c:pt>
                <c:pt idx="1">
                  <c:v>21.31034155628306</c:v>
                </c:pt>
                <c:pt idx="2">
                  <c:v>31.965512334424592</c:v>
                </c:pt>
                <c:pt idx="3">
                  <c:v>42.62068311256612</c:v>
                </c:pt>
                <c:pt idx="4">
                  <c:v>53.275853890707644</c:v>
                </c:pt>
                <c:pt idx="5">
                  <c:v>63.931024668849183</c:v>
                </c:pt>
                <c:pt idx="6">
                  <c:v>74.586195446990715</c:v>
                </c:pt>
                <c:pt idx="7">
                  <c:v>85.241366225132239</c:v>
                </c:pt>
                <c:pt idx="8">
                  <c:v>95.896537003273778</c:v>
                </c:pt>
                <c:pt idx="9">
                  <c:v>106.55170778141529</c:v>
                </c:pt>
                <c:pt idx="10">
                  <c:v>117.20687855955681</c:v>
                </c:pt>
                <c:pt idx="11">
                  <c:v>127.86204933769837</c:v>
                </c:pt>
                <c:pt idx="12">
                  <c:v>138.5172201158399</c:v>
                </c:pt>
                <c:pt idx="13">
                  <c:v>149.17239089398143</c:v>
                </c:pt>
                <c:pt idx="14">
                  <c:v>159.82756167212295</c:v>
                </c:pt>
                <c:pt idx="15">
                  <c:v>170.48273245026448</c:v>
                </c:pt>
              </c:numCache>
            </c:numRef>
          </c:xVal>
          <c:yVal>
            <c:numRef>
              <c:f>workings!$K$72:$K$87</c:f>
              <c:numCache>
                <c:formatCode>0</c:formatCode>
                <c:ptCount val="16"/>
                <c:pt idx="0">
                  <c:v>31.745999999999999</c:v>
                </c:pt>
                <c:pt idx="1">
                  <c:v>95.238</c:v>
                </c:pt>
                <c:pt idx="2">
                  <c:v>158.72999999999999</c:v>
                </c:pt>
                <c:pt idx="3">
                  <c:v>238.09499999999997</c:v>
                </c:pt>
                <c:pt idx="4">
                  <c:v>317.45999999999998</c:v>
                </c:pt>
                <c:pt idx="5">
                  <c:v>365.07899999999995</c:v>
                </c:pt>
                <c:pt idx="6">
                  <c:v>393.65039999999993</c:v>
                </c:pt>
                <c:pt idx="7">
                  <c:v>428.57099999999997</c:v>
                </c:pt>
                <c:pt idx="8">
                  <c:v>444.44399999999996</c:v>
                </c:pt>
                <c:pt idx="9">
                  <c:v>444.44399999999996</c:v>
                </c:pt>
                <c:pt idx="10">
                  <c:v>422.22179999999992</c:v>
                </c:pt>
                <c:pt idx="11">
                  <c:v>387.30119999999999</c:v>
                </c:pt>
                <c:pt idx="12">
                  <c:v>349.20599999999996</c:v>
                </c:pt>
                <c:pt idx="13">
                  <c:v>317.45999999999998</c:v>
                </c:pt>
                <c:pt idx="14">
                  <c:v>285.714</c:v>
                </c:pt>
                <c:pt idx="15">
                  <c:v>253.96799999999999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60-F74D-877F-6465DBA0A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385360"/>
        <c:axId val="1088387040"/>
      </c:scatterChart>
      <c:valAx>
        <c:axId val="108838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387040"/>
        <c:crosses val="autoZero"/>
        <c:crossBetween val="midCat"/>
      </c:valAx>
      <c:valAx>
        <c:axId val="10883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38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Engine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2"/>
          <c:tx>
            <c:strRef>
              <c:f>workings!$I$19</c:f>
              <c:strCache>
                <c:ptCount val="1"/>
                <c:pt idx="0">
                  <c:v>Max Torque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workings!$K$19</c:f>
              <c:numCache>
                <c:formatCode>General</c:formatCode>
                <c:ptCount val="1"/>
                <c:pt idx="0">
                  <c:v>4500</c:v>
                </c:pt>
              </c:numCache>
            </c:numRef>
          </c:xVal>
          <c:yVal>
            <c:numRef>
              <c:f>workings!$J$19</c:f>
              <c:numCache>
                <c:formatCode>0.0</c:formatCode>
                <c:ptCount val="1"/>
                <c:pt idx="0">
                  <c:v>140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8C-A541-9D3F-F2BBDA7C6DA2}"/>
            </c:ext>
          </c:extLst>
        </c:ser>
        <c:ser>
          <c:idx val="3"/>
          <c:order val="3"/>
          <c:tx>
            <c:strRef>
              <c:f>workings!$I$20</c:f>
              <c:strCache>
                <c:ptCount val="1"/>
                <c:pt idx="0">
                  <c:v>Max Hp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workings!$K$20</c:f>
              <c:numCache>
                <c:formatCode>General</c:formatCode>
                <c:ptCount val="1"/>
                <c:pt idx="0">
                  <c:v>6000</c:v>
                </c:pt>
              </c:numCache>
            </c:numRef>
          </c:xVal>
          <c:yVal>
            <c:numRef>
              <c:f>workings!$J$20</c:f>
              <c:numCache>
                <c:formatCode>0.0</c:formatCode>
                <c:ptCount val="1"/>
                <c:pt idx="0">
                  <c:v>139.37547600913936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8C-A541-9D3F-F2BBDA7C6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788992"/>
        <c:axId val="1117790672"/>
      </c:scatterChart>
      <c:scatterChart>
        <c:scatterStyle val="lineMarker"/>
        <c:varyColors val="0"/>
        <c:ser>
          <c:idx val="0"/>
          <c:order val="0"/>
          <c:tx>
            <c:strRef>
              <c:f>'Summary Sheet'!$H$6</c:f>
              <c:strCache>
                <c:ptCount val="1"/>
                <c:pt idx="0">
                  <c:v>Torque ft lbs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'Summary Sheet'!$G$7:$G$22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workings!$F$10:$F$25</c:f>
              <c:numCache>
                <c:formatCode>0.0</c:formatCode>
                <c:ptCount val="16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115</c:v>
                </c:pt>
                <c:pt idx="6">
                  <c:v>124</c:v>
                </c:pt>
                <c:pt idx="7">
                  <c:v>135</c:v>
                </c:pt>
                <c:pt idx="8">
                  <c:v>140</c:v>
                </c:pt>
                <c:pt idx="9">
                  <c:v>140</c:v>
                </c:pt>
                <c:pt idx="10">
                  <c:v>133</c:v>
                </c:pt>
                <c:pt idx="11">
                  <c:v>122</c:v>
                </c:pt>
                <c:pt idx="12">
                  <c:v>110</c:v>
                </c:pt>
                <c:pt idx="13">
                  <c:v>100</c:v>
                </c:pt>
                <c:pt idx="14">
                  <c:v>90</c:v>
                </c:pt>
                <c:pt idx="1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0-604B-9CCA-28AF5B264F1D}"/>
            </c:ext>
          </c:extLst>
        </c:ser>
        <c:ser>
          <c:idx val="2"/>
          <c:order val="1"/>
          <c:tx>
            <c:strRef>
              <c:f>workings!$G$9</c:f>
              <c:strCache>
                <c:ptCount val="1"/>
                <c:pt idx="0">
                  <c:v>Hp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'Summary Sheet'!$G$7:$G$22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workings!$G$10:$G$25</c:f>
              <c:numCache>
                <c:formatCode>0.0</c:formatCode>
                <c:ptCount val="16"/>
                <c:pt idx="0">
                  <c:v>0.95201827875095202</c:v>
                </c:pt>
                <c:pt idx="1">
                  <c:v>5.7121096725057123</c:v>
                </c:pt>
                <c:pt idx="2">
                  <c:v>14.28027418126428</c:v>
                </c:pt>
                <c:pt idx="3">
                  <c:v>28.560548362528561</c:v>
                </c:pt>
                <c:pt idx="4">
                  <c:v>47.600913937547602</c:v>
                </c:pt>
                <c:pt idx="5">
                  <c:v>65.689261233815685</c:v>
                </c:pt>
                <c:pt idx="6">
                  <c:v>82.635186595582638</c:v>
                </c:pt>
                <c:pt idx="7">
                  <c:v>102.81797410510282</c:v>
                </c:pt>
                <c:pt idx="8">
                  <c:v>119.95430312261995</c:v>
                </c:pt>
                <c:pt idx="9">
                  <c:v>133.28255902513328</c:v>
                </c:pt>
                <c:pt idx="10">
                  <c:v>139.28027418126428</c:v>
                </c:pt>
                <c:pt idx="11">
                  <c:v>139.37547600913936</c:v>
                </c:pt>
                <c:pt idx="12">
                  <c:v>136.13861386138615</c:v>
                </c:pt>
                <c:pt idx="13">
                  <c:v>133.28255902513328</c:v>
                </c:pt>
                <c:pt idx="14">
                  <c:v>128.52246763137853</c:v>
                </c:pt>
                <c:pt idx="15">
                  <c:v>121.85833968012186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30-604B-9CCA-28AF5B26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788992"/>
        <c:axId val="1117790672"/>
      </c:scatterChart>
      <c:valAx>
        <c:axId val="1117788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790672"/>
        <c:crosses val="autoZero"/>
        <c:crossBetween val="midCat"/>
      </c:valAx>
      <c:valAx>
        <c:axId val="11177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788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 Shift Chart (Revs v Speed mph)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'Summary Sheet'!$G$29:$G$32</c:f>
              <c:numCache>
                <c:formatCode>0.0</c:formatCode>
                <c:ptCount val="4"/>
                <c:pt idx="0">
                  <c:v>43.066266511542707</c:v>
                </c:pt>
                <c:pt idx="1">
                  <c:v>64.947427829721036</c:v>
                </c:pt>
                <c:pt idx="2">
                  <c:v>88.607479115358487</c:v>
                </c:pt>
                <c:pt idx="3">
                  <c:v>111.99456912257244</c:v>
                </c:pt>
              </c:numCache>
            </c:numRef>
          </c:xVal>
          <c:yVal>
            <c:numRef>
              <c:f>'Summary Sheet'!$D$29:$D$32</c:f>
              <c:numCache>
                <c:formatCode>0</c:formatCode>
                <c:ptCount val="4"/>
                <c:pt idx="0">
                  <c:v>4687.3177842565601</c:v>
                </c:pt>
                <c:pt idx="1">
                  <c:v>4979.6495708848051</c:v>
                </c:pt>
                <c:pt idx="2">
                  <c:v>5108.0550098231834</c:v>
                </c:pt>
                <c:pt idx="3">
                  <c:v>5255.4093901677707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0-AB40-87E8-A3A07F4B7F2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'Summary Sheet'!$H$28:$H$31</c:f>
              <c:numCache>
                <c:formatCode>0.0</c:formatCode>
                <c:ptCount val="4"/>
                <c:pt idx="0">
                  <c:v>43.066266511542707</c:v>
                </c:pt>
                <c:pt idx="1">
                  <c:v>64.947427829721036</c:v>
                </c:pt>
                <c:pt idx="2">
                  <c:v>88.607479115358487</c:v>
                </c:pt>
                <c:pt idx="3">
                  <c:v>111.99456912257244</c:v>
                </c:pt>
              </c:numCache>
            </c:numRef>
          </c:xVal>
          <c:yVal>
            <c:numRef>
              <c:f>'Summary Sheet'!$E$28:$E$31</c:f>
              <c:numCache>
                <c:formatCode>0</c:formatCode>
                <c:ptCount val="4"/>
                <c:pt idx="0">
                  <c:v>7785.7142857142862</c:v>
                </c:pt>
                <c:pt idx="1">
                  <c:v>7068.8559322033889</c:v>
                </c:pt>
                <c:pt idx="2">
                  <c:v>6793.7131630648337</c:v>
                </c:pt>
                <c:pt idx="3">
                  <c:v>6456.276892097997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B0-AB40-87E8-A3A07F4B7F2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'Summary Sheet'!$D$38:$D$46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43.066266511542707</c:v>
                </c:pt>
                <c:pt idx="2">
                  <c:v>43.066266511542707</c:v>
                </c:pt>
                <c:pt idx="3">
                  <c:v>64.947427829721036</c:v>
                </c:pt>
                <c:pt idx="4">
                  <c:v>64.947427829721036</c:v>
                </c:pt>
                <c:pt idx="5">
                  <c:v>88.607479115358487</c:v>
                </c:pt>
                <c:pt idx="6">
                  <c:v>88.607479115358487</c:v>
                </c:pt>
                <c:pt idx="7">
                  <c:v>111.99456912257244</c:v>
                </c:pt>
                <c:pt idx="8">
                  <c:v>111.99456912257244</c:v>
                </c:pt>
              </c:numCache>
            </c:numRef>
          </c:xVal>
          <c:yVal>
            <c:numRef>
              <c:f>'Summary Sheet'!$C$38:$C$46</c:f>
              <c:numCache>
                <c:formatCode>0</c:formatCode>
                <c:ptCount val="9"/>
                <c:pt idx="0" formatCode="General">
                  <c:v>0</c:v>
                </c:pt>
                <c:pt idx="1">
                  <c:v>7785.7142857142862</c:v>
                </c:pt>
                <c:pt idx="2">
                  <c:v>4687.3177842565601</c:v>
                </c:pt>
                <c:pt idx="3">
                  <c:v>7068.8559322033889</c:v>
                </c:pt>
                <c:pt idx="4">
                  <c:v>4979.6495708848051</c:v>
                </c:pt>
                <c:pt idx="5">
                  <c:v>6793.7131630648337</c:v>
                </c:pt>
                <c:pt idx="6">
                  <c:v>5108.0550098231834</c:v>
                </c:pt>
                <c:pt idx="7">
                  <c:v>6456.276892097997</c:v>
                </c:pt>
                <c:pt idx="8">
                  <c:v>5255.4093901677707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B0-AB40-87E8-A3A07F4B7F23}"/>
            </c:ext>
          </c:extLst>
        </c:ser>
        <c:ser>
          <c:idx val="4"/>
          <c:order val="3"/>
          <c:tx>
            <c:strRef>
              <c:f>'Summary Sheet'!$F$38</c:f>
              <c:strCache>
                <c:ptCount val="1"/>
                <c:pt idx="0">
                  <c:v>1st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'Summary Sheet'!$G$38</c:f>
              <c:numCache>
                <c:formatCode>0.0</c:formatCode>
                <c:ptCount val="1"/>
                <c:pt idx="0">
                  <c:v>21.533133255771354</c:v>
                </c:pt>
              </c:numCache>
            </c:numRef>
          </c:xVal>
          <c:yVal>
            <c:numRef>
              <c:f>'Summary Sheet'!$H$38</c:f>
              <c:numCache>
                <c:formatCode>0.0</c:formatCode>
                <c:ptCount val="1"/>
                <c:pt idx="0">
                  <c:v>5878.0868582299745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0B0-AB40-87E8-A3A07F4B7F23}"/>
            </c:ext>
          </c:extLst>
        </c:ser>
        <c:ser>
          <c:idx val="3"/>
          <c:order val="4"/>
          <c:tx>
            <c:strRef>
              <c:f>'Summary Sheet'!$F$39</c:f>
              <c:strCache>
                <c:ptCount val="1"/>
                <c:pt idx="0">
                  <c:v>2nd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'Summary Sheet'!$G$39</c:f>
              <c:numCache>
                <c:formatCode>0.0</c:formatCode>
                <c:ptCount val="1"/>
                <c:pt idx="0">
                  <c:v>54.006847170631872</c:v>
                </c:pt>
              </c:numCache>
            </c:numRef>
          </c:xVal>
          <c:yVal>
            <c:numRef>
              <c:f>'Summary Sheet'!$H$39</c:f>
              <c:numCache>
                <c:formatCode>0.0</c:formatCode>
                <c:ptCount val="1"/>
                <c:pt idx="0">
                  <c:v>5878.0868582299745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0B0-AB40-87E8-A3A07F4B7F23}"/>
            </c:ext>
          </c:extLst>
        </c:ser>
        <c:ser>
          <c:idx val="5"/>
          <c:order val="5"/>
          <c:tx>
            <c:strRef>
              <c:f>'Summary Sheet'!$F$40</c:f>
              <c:strCache>
                <c:ptCount val="1"/>
                <c:pt idx="0">
                  <c:v>3rd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'Summary Sheet'!$G$40</c:f>
              <c:numCache>
                <c:formatCode>0.0</c:formatCode>
                <c:ptCount val="1"/>
                <c:pt idx="0">
                  <c:v>76.777453472539761</c:v>
                </c:pt>
              </c:numCache>
            </c:numRef>
          </c:xVal>
          <c:yVal>
            <c:numRef>
              <c:f>'Summary Sheet'!$H$40</c:f>
              <c:numCache>
                <c:formatCode>0.0</c:formatCode>
                <c:ptCount val="1"/>
                <c:pt idx="0">
                  <c:v>5878.0868582299745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0B0-AB40-87E8-A3A07F4B7F23}"/>
            </c:ext>
          </c:extLst>
        </c:ser>
        <c:ser>
          <c:idx val="6"/>
          <c:order val="6"/>
          <c:tx>
            <c:strRef>
              <c:f>'Summary Sheet'!$F$41</c:f>
              <c:strCache>
                <c:ptCount val="1"/>
                <c:pt idx="0">
                  <c:v>4th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'Summary Sheet'!$G$41</c:f>
              <c:numCache>
                <c:formatCode>0.0</c:formatCode>
                <c:ptCount val="1"/>
                <c:pt idx="0">
                  <c:v>100.30102411896547</c:v>
                </c:pt>
              </c:numCache>
            </c:numRef>
          </c:xVal>
          <c:yVal>
            <c:numRef>
              <c:f>'Summary Sheet'!$H$41</c:f>
              <c:numCache>
                <c:formatCode>0.0</c:formatCode>
                <c:ptCount val="1"/>
                <c:pt idx="0">
                  <c:v>5878.0868582299745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0B0-AB40-87E8-A3A07F4B7F23}"/>
            </c:ext>
          </c:extLst>
        </c:ser>
        <c:ser>
          <c:idx val="7"/>
          <c:order val="7"/>
          <c:tx>
            <c:strRef>
              <c:f>'Summary Sheet'!$F$42</c:f>
              <c:strCache>
                <c:ptCount val="1"/>
                <c:pt idx="0">
                  <c:v>5th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'Summary Sheet'!$G$42</c:f>
              <c:numCache>
                <c:formatCode>0.0</c:formatCode>
                <c:ptCount val="1"/>
                <c:pt idx="0">
                  <c:v>123.68811412617941</c:v>
                </c:pt>
              </c:numCache>
            </c:numRef>
          </c:xVal>
          <c:yVal>
            <c:numRef>
              <c:f>'Summary Sheet'!$H$42</c:f>
              <c:numCache>
                <c:formatCode>0.0</c:formatCode>
                <c:ptCount val="1"/>
                <c:pt idx="0">
                  <c:v>5878.0868582299745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0B0-AB40-87E8-A3A07F4B7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2480"/>
        <c:axId val="262532832"/>
      </c:scatterChart>
      <c:valAx>
        <c:axId val="2119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532832"/>
        <c:crosses val="autoZero"/>
        <c:crossBetween val="midCat"/>
      </c:valAx>
      <c:valAx>
        <c:axId val="26253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verse Road Speed</a:t>
            </a:r>
            <a:r>
              <a:rPr lang="en-US" baseline="0"/>
              <a:t> (mph) per Gear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workings!$C$28</c:f>
              <c:strCache>
                <c:ptCount val="1"/>
                <c:pt idx="0">
                  <c:v>1st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workings!$C$31:$C$46</c:f>
              <c:numCache>
                <c:formatCode>0.0</c:formatCode>
                <c:ptCount val="16"/>
                <c:pt idx="0">
                  <c:v>2.7657235374385221</c:v>
                </c:pt>
                <c:pt idx="1">
                  <c:v>5.5314470748770441</c:v>
                </c:pt>
                <c:pt idx="2">
                  <c:v>8.2971706123155666</c:v>
                </c:pt>
                <c:pt idx="3">
                  <c:v>11.062894149754088</c:v>
                </c:pt>
                <c:pt idx="4">
                  <c:v>13.828617687192608</c:v>
                </c:pt>
                <c:pt idx="5">
                  <c:v>16.594341224631133</c:v>
                </c:pt>
                <c:pt idx="6">
                  <c:v>19.360064762069655</c:v>
                </c:pt>
                <c:pt idx="7">
                  <c:v>22.125788299508176</c:v>
                </c:pt>
                <c:pt idx="8">
                  <c:v>24.891511836946702</c:v>
                </c:pt>
                <c:pt idx="9">
                  <c:v>27.657235374385216</c:v>
                </c:pt>
                <c:pt idx="10">
                  <c:v>30.422958911823741</c:v>
                </c:pt>
                <c:pt idx="11">
                  <c:v>33.188682449262267</c:v>
                </c:pt>
                <c:pt idx="12">
                  <c:v>35.954405986700792</c:v>
                </c:pt>
                <c:pt idx="13">
                  <c:v>38.72012952413931</c:v>
                </c:pt>
                <c:pt idx="14">
                  <c:v>41.485853061577835</c:v>
                </c:pt>
                <c:pt idx="15">
                  <c:v>44.251576599016353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3-D043-AE76-916867585916}"/>
            </c:ext>
          </c:extLst>
        </c:ser>
        <c:ser>
          <c:idx val="1"/>
          <c:order val="1"/>
          <c:tx>
            <c:strRef>
              <c:f>workings!$D$28</c:f>
              <c:strCache>
                <c:ptCount val="1"/>
                <c:pt idx="0">
                  <c:v>2nd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workings!$D$31:$D$46</c:f>
              <c:numCache>
                <c:formatCode>0.0</c:formatCode>
                <c:ptCount val="16"/>
                <c:pt idx="0">
                  <c:v>4.5939136723555123</c:v>
                </c:pt>
                <c:pt idx="1">
                  <c:v>9.1878273447110246</c:v>
                </c:pt>
                <c:pt idx="2">
                  <c:v>13.781741017066535</c:v>
                </c:pt>
                <c:pt idx="3">
                  <c:v>18.375654689422049</c:v>
                </c:pt>
                <c:pt idx="4">
                  <c:v>22.969568361777554</c:v>
                </c:pt>
                <c:pt idx="5">
                  <c:v>27.56348203413307</c:v>
                </c:pt>
                <c:pt idx="6">
                  <c:v>32.157395706488586</c:v>
                </c:pt>
                <c:pt idx="7">
                  <c:v>36.751309378844098</c:v>
                </c:pt>
                <c:pt idx="8">
                  <c:v>41.345223051199604</c:v>
                </c:pt>
                <c:pt idx="9">
                  <c:v>45.939136723555109</c:v>
                </c:pt>
                <c:pt idx="10">
                  <c:v>50.533050395910621</c:v>
                </c:pt>
                <c:pt idx="11">
                  <c:v>55.12696406826614</c:v>
                </c:pt>
                <c:pt idx="12">
                  <c:v>59.720877740621653</c:v>
                </c:pt>
                <c:pt idx="13">
                  <c:v>64.314791412977172</c:v>
                </c:pt>
                <c:pt idx="14">
                  <c:v>68.908705085332684</c:v>
                </c:pt>
                <c:pt idx="15">
                  <c:v>73.502618757688197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13-D043-AE76-916867585916}"/>
            </c:ext>
          </c:extLst>
        </c:ser>
        <c:ser>
          <c:idx val="2"/>
          <c:order val="2"/>
          <c:tx>
            <c:strRef>
              <c:f>workings!$E$28</c:f>
              <c:strCache>
                <c:ptCount val="1"/>
                <c:pt idx="0">
                  <c:v>3rd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workings!$E$31:$E$46</c:f>
              <c:numCache>
                <c:formatCode>0.0</c:formatCode>
                <c:ptCount val="16"/>
                <c:pt idx="0">
                  <c:v>6.5212849724866206</c:v>
                </c:pt>
                <c:pt idx="1">
                  <c:v>13.042569944973241</c:v>
                </c:pt>
                <c:pt idx="2">
                  <c:v>19.56385491745986</c:v>
                </c:pt>
                <c:pt idx="3">
                  <c:v>26.085139889946483</c:v>
                </c:pt>
                <c:pt idx="4">
                  <c:v>32.606424862433094</c:v>
                </c:pt>
                <c:pt idx="5">
                  <c:v>39.12770983491972</c:v>
                </c:pt>
                <c:pt idx="6">
                  <c:v>45.648994807406339</c:v>
                </c:pt>
                <c:pt idx="7">
                  <c:v>52.170279779892965</c:v>
                </c:pt>
                <c:pt idx="8">
                  <c:v>58.691564752379584</c:v>
                </c:pt>
                <c:pt idx="9">
                  <c:v>65.212849724866189</c:v>
                </c:pt>
                <c:pt idx="10">
                  <c:v>71.734134697352815</c:v>
                </c:pt>
                <c:pt idx="11">
                  <c:v>78.255419669839441</c:v>
                </c:pt>
                <c:pt idx="12">
                  <c:v>84.776704642326067</c:v>
                </c:pt>
                <c:pt idx="13">
                  <c:v>91.297989614812678</c:v>
                </c:pt>
                <c:pt idx="14">
                  <c:v>97.819274587299304</c:v>
                </c:pt>
                <c:pt idx="15">
                  <c:v>104.34055955978593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13-D043-AE76-916867585916}"/>
            </c:ext>
          </c:extLst>
        </c:ser>
        <c:ser>
          <c:idx val="3"/>
          <c:order val="3"/>
          <c:tx>
            <c:strRef>
              <c:f>workings!$F$28</c:f>
              <c:strCache>
                <c:ptCount val="1"/>
                <c:pt idx="0">
                  <c:v>4th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workings!$F$31:$F$46</c:f>
              <c:numCache>
                <c:formatCode>0.0</c:formatCode>
                <c:ptCount val="16"/>
                <c:pt idx="0">
                  <c:v>8.6733090134072057</c:v>
                </c:pt>
                <c:pt idx="1">
                  <c:v>17.346618026814411</c:v>
                </c:pt>
                <c:pt idx="2">
                  <c:v>26.019927040221617</c:v>
                </c:pt>
                <c:pt idx="3">
                  <c:v>34.693236053628823</c:v>
                </c:pt>
                <c:pt idx="4">
                  <c:v>43.366545067036022</c:v>
                </c:pt>
                <c:pt idx="5">
                  <c:v>52.039854080443234</c:v>
                </c:pt>
                <c:pt idx="6">
                  <c:v>60.71316309385044</c:v>
                </c:pt>
                <c:pt idx="7">
                  <c:v>69.386472107257646</c:v>
                </c:pt>
                <c:pt idx="8">
                  <c:v>78.059781120664852</c:v>
                </c:pt>
                <c:pt idx="9">
                  <c:v>86.733090134072043</c:v>
                </c:pt>
                <c:pt idx="10">
                  <c:v>95.406399147479249</c:v>
                </c:pt>
                <c:pt idx="11">
                  <c:v>104.07970816088647</c:v>
                </c:pt>
                <c:pt idx="12">
                  <c:v>112.75301717429367</c:v>
                </c:pt>
                <c:pt idx="13">
                  <c:v>121.42632618770088</c:v>
                </c:pt>
                <c:pt idx="14">
                  <c:v>130.09963520110807</c:v>
                </c:pt>
                <c:pt idx="15">
                  <c:v>138.77294421451529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13-D043-AE76-916867585916}"/>
            </c:ext>
          </c:extLst>
        </c:ser>
        <c:ser>
          <c:idx val="4"/>
          <c:order val="4"/>
          <c:tx>
            <c:strRef>
              <c:f>workings!$G$28</c:f>
              <c:strCache>
                <c:ptCount val="1"/>
                <c:pt idx="0">
                  <c:v>5th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workings!$G$31:$G$46</c:f>
              <c:numCache>
                <c:formatCode>0.0</c:formatCode>
                <c:ptCount val="16"/>
                <c:pt idx="0">
                  <c:v>10.65517077814153</c:v>
                </c:pt>
                <c:pt idx="1">
                  <c:v>21.31034155628306</c:v>
                </c:pt>
                <c:pt idx="2">
                  <c:v>31.965512334424592</c:v>
                </c:pt>
                <c:pt idx="3">
                  <c:v>42.62068311256612</c:v>
                </c:pt>
                <c:pt idx="4">
                  <c:v>53.275853890707644</c:v>
                </c:pt>
                <c:pt idx="5">
                  <c:v>63.931024668849183</c:v>
                </c:pt>
                <c:pt idx="6">
                  <c:v>74.586195446990715</c:v>
                </c:pt>
                <c:pt idx="7">
                  <c:v>85.241366225132239</c:v>
                </c:pt>
                <c:pt idx="8">
                  <c:v>95.896537003273778</c:v>
                </c:pt>
                <c:pt idx="9">
                  <c:v>106.55170778141529</c:v>
                </c:pt>
                <c:pt idx="10">
                  <c:v>117.20687855955681</c:v>
                </c:pt>
                <c:pt idx="11">
                  <c:v>127.86204933769837</c:v>
                </c:pt>
                <c:pt idx="12">
                  <c:v>138.5172201158399</c:v>
                </c:pt>
                <c:pt idx="13">
                  <c:v>149.17239089398143</c:v>
                </c:pt>
                <c:pt idx="14">
                  <c:v>159.82756167212295</c:v>
                </c:pt>
                <c:pt idx="15">
                  <c:v>170.48273245026448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13-D043-AE76-916867585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284512"/>
        <c:axId val="677832288"/>
      </c:scatterChart>
      <c:valAx>
        <c:axId val="70428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2288"/>
        <c:crosses val="autoZero"/>
        <c:crossBetween val="midCat"/>
      </c:valAx>
      <c:valAx>
        <c:axId val="67783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84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Torque</a:t>
            </a:r>
            <a:r>
              <a:rPr lang="en-US" baseline="0"/>
              <a:t> (ft lb) verses Revs per Gear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workings!$E$51</c:f>
              <c:strCache>
                <c:ptCount val="1"/>
                <c:pt idx="0">
                  <c:v>1st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workings!$B$52:$B$67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workings!$E$52:$E$67</c:f>
              <c:numCache>
                <c:formatCode>0</c:formatCode>
                <c:ptCount val="16"/>
                <c:pt idx="0">
                  <c:v>122.304</c:v>
                </c:pt>
                <c:pt idx="1">
                  <c:v>366.91200000000003</c:v>
                </c:pt>
                <c:pt idx="2">
                  <c:v>611.52</c:v>
                </c:pt>
                <c:pt idx="3">
                  <c:v>917.28000000000009</c:v>
                </c:pt>
                <c:pt idx="4">
                  <c:v>1223.04</c:v>
                </c:pt>
                <c:pt idx="5">
                  <c:v>1406.4960000000001</c:v>
                </c:pt>
                <c:pt idx="6">
                  <c:v>1516.5696</c:v>
                </c:pt>
                <c:pt idx="7">
                  <c:v>1651.104</c:v>
                </c:pt>
                <c:pt idx="8">
                  <c:v>1712.2560000000001</c:v>
                </c:pt>
                <c:pt idx="9">
                  <c:v>1712.2560000000001</c:v>
                </c:pt>
                <c:pt idx="10">
                  <c:v>1626.6431999999998</c:v>
                </c:pt>
                <c:pt idx="11">
                  <c:v>1492.1088000000002</c:v>
                </c:pt>
                <c:pt idx="12">
                  <c:v>1345.3440000000001</c:v>
                </c:pt>
                <c:pt idx="13">
                  <c:v>1223.04</c:v>
                </c:pt>
                <c:pt idx="14">
                  <c:v>1100.7360000000001</c:v>
                </c:pt>
                <c:pt idx="15">
                  <c:v>978.43200000000002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D5-4E47-A44A-90DAF2DE9E2F}"/>
            </c:ext>
          </c:extLst>
        </c:ser>
        <c:ser>
          <c:idx val="1"/>
          <c:order val="1"/>
          <c:tx>
            <c:strRef>
              <c:f>workings!$F$51</c:f>
              <c:strCache>
                <c:ptCount val="1"/>
                <c:pt idx="0">
                  <c:v>2nd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workings!$B$52:$B$67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workings!$F$52:$F$67</c:f>
              <c:numCache>
                <c:formatCode>0</c:formatCode>
                <c:ptCount val="16"/>
                <c:pt idx="0">
                  <c:v>73.631999999999991</c:v>
                </c:pt>
                <c:pt idx="1">
                  <c:v>220.89599999999999</c:v>
                </c:pt>
                <c:pt idx="2">
                  <c:v>368.15999999999997</c:v>
                </c:pt>
                <c:pt idx="3">
                  <c:v>552.24</c:v>
                </c:pt>
                <c:pt idx="4">
                  <c:v>736.31999999999994</c:v>
                </c:pt>
                <c:pt idx="5">
                  <c:v>846.76799999999992</c:v>
                </c:pt>
                <c:pt idx="6">
                  <c:v>913.03679999999986</c:v>
                </c:pt>
                <c:pt idx="7">
                  <c:v>994.03199999999993</c:v>
                </c:pt>
                <c:pt idx="8">
                  <c:v>1030.848</c:v>
                </c:pt>
                <c:pt idx="9">
                  <c:v>1030.848</c:v>
                </c:pt>
                <c:pt idx="10">
                  <c:v>979.3055999999998</c:v>
                </c:pt>
                <c:pt idx="11">
                  <c:v>898.31039999999996</c:v>
                </c:pt>
                <c:pt idx="12">
                  <c:v>809.952</c:v>
                </c:pt>
                <c:pt idx="13">
                  <c:v>736.31999999999994</c:v>
                </c:pt>
                <c:pt idx="14">
                  <c:v>662.68799999999999</c:v>
                </c:pt>
                <c:pt idx="15">
                  <c:v>589.05599999999993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D5-4E47-A44A-90DAF2DE9E2F}"/>
            </c:ext>
          </c:extLst>
        </c:ser>
        <c:ser>
          <c:idx val="2"/>
          <c:order val="2"/>
          <c:tx>
            <c:strRef>
              <c:f>workings!$G$51</c:f>
              <c:strCache>
                <c:ptCount val="1"/>
                <c:pt idx="0">
                  <c:v>3rd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workings!$B$52:$B$67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workings!$G$52:$G$67</c:f>
              <c:numCache>
                <c:formatCode>0</c:formatCode>
                <c:ptCount val="16"/>
                <c:pt idx="0">
                  <c:v>51.870000000000005</c:v>
                </c:pt>
                <c:pt idx="1">
                  <c:v>155.61000000000001</c:v>
                </c:pt>
                <c:pt idx="2">
                  <c:v>259.35000000000002</c:v>
                </c:pt>
                <c:pt idx="3">
                  <c:v>389.02500000000003</c:v>
                </c:pt>
                <c:pt idx="4">
                  <c:v>518.70000000000005</c:v>
                </c:pt>
                <c:pt idx="5">
                  <c:v>596.505</c:v>
                </c:pt>
                <c:pt idx="6">
                  <c:v>643.18799999999999</c:v>
                </c:pt>
                <c:pt idx="7">
                  <c:v>700.245</c:v>
                </c:pt>
                <c:pt idx="8">
                  <c:v>726.18000000000006</c:v>
                </c:pt>
                <c:pt idx="9">
                  <c:v>726.18000000000006</c:v>
                </c:pt>
                <c:pt idx="10">
                  <c:v>689.87099999999998</c:v>
                </c:pt>
                <c:pt idx="11">
                  <c:v>632.81400000000008</c:v>
                </c:pt>
                <c:pt idx="12">
                  <c:v>570.57000000000005</c:v>
                </c:pt>
                <c:pt idx="13">
                  <c:v>518.70000000000005</c:v>
                </c:pt>
                <c:pt idx="14">
                  <c:v>466.83000000000004</c:v>
                </c:pt>
                <c:pt idx="15">
                  <c:v>414.96000000000004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D5-4E47-A44A-90DAF2DE9E2F}"/>
            </c:ext>
          </c:extLst>
        </c:ser>
        <c:ser>
          <c:idx val="3"/>
          <c:order val="3"/>
          <c:tx>
            <c:strRef>
              <c:f>workings!$H$51</c:f>
              <c:strCache>
                <c:ptCount val="1"/>
                <c:pt idx="0">
                  <c:v>4th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workings!$B$52:$B$67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workings!$H$52:$H$67</c:f>
              <c:numCache>
                <c:formatCode>0</c:formatCode>
                <c:ptCount val="16"/>
                <c:pt idx="0">
                  <c:v>39</c:v>
                </c:pt>
                <c:pt idx="1">
                  <c:v>117</c:v>
                </c:pt>
                <c:pt idx="2">
                  <c:v>195</c:v>
                </c:pt>
                <c:pt idx="3">
                  <c:v>292.5</c:v>
                </c:pt>
                <c:pt idx="4">
                  <c:v>390</c:v>
                </c:pt>
                <c:pt idx="5">
                  <c:v>448.5</c:v>
                </c:pt>
                <c:pt idx="6">
                  <c:v>483.59999999999997</c:v>
                </c:pt>
                <c:pt idx="7">
                  <c:v>526.5</c:v>
                </c:pt>
                <c:pt idx="8">
                  <c:v>546</c:v>
                </c:pt>
                <c:pt idx="9">
                  <c:v>546</c:v>
                </c:pt>
                <c:pt idx="10">
                  <c:v>518.69999999999993</c:v>
                </c:pt>
                <c:pt idx="11">
                  <c:v>475.8</c:v>
                </c:pt>
                <c:pt idx="12">
                  <c:v>429</c:v>
                </c:pt>
                <c:pt idx="13">
                  <c:v>390</c:v>
                </c:pt>
                <c:pt idx="14">
                  <c:v>351</c:v>
                </c:pt>
                <c:pt idx="15">
                  <c:v>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D5-4E47-A44A-90DAF2DE9E2F}"/>
            </c:ext>
          </c:extLst>
        </c:ser>
        <c:ser>
          <c:idx val="4"/>
          <c:order val="4"/>
          <c:tx>
            <c:strRef>
              <c:f>workings!$I$51</c:f>
              <c:strCache>
                <c:ptCount val="1"/>
                <c:pt idx="0">
                  <c:v>5th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workings!$B$52:$B$67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workings!$I$52:$I$67</c:f>
              <c:numCache>
                <c:formatCode>0</c:formatCode>
                <c:ptCount val="16"/>
                <c:pt idx="0">
                  <c:v>31.745999999999999</c:v>
                </c:pt>
                <c:pt idx="1">
                  <c:v>95.238</c:v>
                </c:pt>
                <c:pt idx="2">
                  <c:v>158.72999999999999</c:v>
                </c:pt>
                <c:pt idx="3">
                  <c:v>238.09499999999997</c:v>
                </c:pt>
                <c:pt idx="4">
                  <c:v>317.45999999999998</c:v>
                </c:pt>
                <c:pt idx="5">
                  <c:v>365.07899999999995</c:v>
                </c:pt>
                <c:pt idx="6">
                  <c:v>393.65039999999993</c:v>
                </c:pt>
                <c:pt idx="7">
                  <c:v>428.57099999999997</c:v>
                </c:pt>
                <c:pt idx="8">
                  <c:v>444.44399999999996</c:v>
                </c:pt>
                <c:pt idx="9">
                  <c:v>444.44399999999996</c:v>
                </c:pt>
                <c:pt idx="10">
                  <c:v>422.22179999999992</c:v>
                </c:pt>
                <c:pt idx="11">
                  <c:v>387.30119999999999</c:v>
                </c:pt>
                <c:pt idx="12">
                  <c:v>349.20599999999996</c:v>
                </c:pt>
                <c:pt idx="13">
                  <c:v>317.45999999999998</c:v>
                </c:pt>
                <c:pt idx="14">
                  <c:v>285.714</c:v>
                </c:pt>
                <c:pt idx="15">
                  <c:v>253.96799999999999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8D5-4E47-A44A-90DAF2DE9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832160"/>
        <c:axId val="723647376"/>
      </c:scatterChart>
      <c:valAx>
        <c:axId val="726832160"/>
        <c:scaling>
          <c:orientation val="minMax"/>
          <c:max val="8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647376"/>
        <c:crosses val="autoZero"/>
        <c:crossBetween val="midCat"/>
      </c:valAx>
      <c:valAx>
        <c:axId val="7236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3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Torque</a:t>
            </a:r>
            <a:r>
              <a:rPr lang="en-US" baseline="0"/>
              <a:t> in each Gear (Torque at Wheel ft lbs v Speed mph)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workings!$B$71</c:f>
              <c:strCache>
                <c:ptCount val="1"/>
                <c:pt idx="0">
                  <c:v>1st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workings!$B$72:$B$87</c:f>
              <c:numCache>
                <c:formatCode>0.0</c:formatCode>
                <c:ptCount val="16"/>
                <c:pt idx="0">
                  <c:v>2.7657235374385221</c:v>
                </c:pt>
                <c:pt idx="1">
                  <c:v>5.5314470748770441</c:v>
                </c:pt>
                <c:pt idx="2">
                  <c:v>8.2971706123155666</c:v>
                </c:pt>
                <c:pt idx="3">
                  <c:v>11.062894149754088</c:v>
                </c:pt>
                <c:pt idx="4">
                  <c:v>13.828617687192608</c:v>
                </c:pt>
                <c:pt idx="5">
                  <c:v>16.594341224631133</c:v>
                </c:pt>
                <c:pt idx="6">
                  <c:v>19.360064762069655</c:v>
                </c:pt>
                <c:pt idx="7">
                  <c:v>22.125788299508176</c:v>
                </c:pt>
                <c:pt idx="8">
                  <c:v>24.891511836946702</c:v>
                </c:pt>
                <c:pt idx="9">
                  <c:v>27.657235374385216</c:v>
                </c:pt>
                <c:pt idx="10">
                  <c:v>30.422958911823741</c:v>
                </c:pt>
                <c:pt idx="11">
                  <c:v>33.188682449262267</c:v>
                </c:pt>
                <c:pt idx="12">
                  <c:v>35.954405986700792</c:v>
                </c:pt>
                <c:pt idx="13">
                  <c:v>38.72012952413931</c:v>
                </c:pt>
                <c:pt idx="14">
                  <c:v>41.485853061577835</c:v>
                </c:pt>
                <c:pt idx="15">
                  <c:v>44.251576599016353</c:v>
                </c:pt>
              </c:numCache>
            </c:numRef>
          </c:xVal>
          <c:yVal>
            <c:numRef>
              <c:f>workings!$C$72:$C$87</c:f>
              <c:numCache>
                <c:formatCode>0</c:formatCode>
                <c:ptCount val="16"/>
                <c:pt idx="0">
                  <c:v>122.304</c:v>
                </c:pt>
                <c:pt idx="1">
                  <c:v>366.91200000000003</c:v>
                </c:pt>
                <c:pt idx="2">
                  <c:v>611.52</c:v>
                </c:pt>
                <c:pt idx="3">
                  <c:v>917.28000000000009</c:v>
                </c:pt>
                <c:pt idx="4">
                  <c:v>1223.04</c:v>
                </c:pt>
                <c:pt idx="5">
                  <c:v>1406.4960000000001</c:v>
                </c:pt>
                <c:pt idx="6">
                  <c:v>1516.5696</c:v>
                </c:pt>
                <c:pt idx="7">
                  <c:v>1651.104</c:v>
                </c:pt>
                <c:pt idx="8">
                  <c:v>1712.2560000000001</c:v>
                </c:pt>
                <c:pt idx="9">
                  <c:v>1712.2560000000001</c:v>
                </c:pt>
                <c:pt idx="10">
                  <c:v>1626.6431999999998</c:v>
                </c:pt>
                <c:pt idx="11">
                  <c:v>1492.1088000000002</c:v>
                </c:pt>
                <c:pt idx="12">
                  <c:v>1345.3440000000001</c:v>
                </c:pt>
                <c:pt idx="13">
                  <c:v>1223.04</c:v>
                </c:pt>
                <c:pt idx="14">
                  <c:v>1100.7360000000001</c:v>
                </c:pt>
                <c:pt idx="15">
                  <c:v>978.43200000000002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97-3746-A80C-9938A278693E}"/>
            </c:ext>
          </c:extLst>
        </c:ser>
        <c:ser>
          <c:idx val="1"/>
          <c:order val="1"/>
          <c:tx>
            <c:strRef>
              <c:f>workings!$D$71</c:f>
              <c:strCache>
                <c:ptCount val="1"/>
                <c:pt idx="0">
                  <c:v>2nd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workings!$D$72:$D$87</c:f>
              <c:numCache>
                <c:formatCode>0.0</c:formatCode>
                <c:ptCount val="16"/>
                <c:pt idx="0">
                  <c:v>4.5939136723555123</c:v>
                </c:pt>
                <c:pt idx="1">
                  <c:v>9.1878273447110246</c:v>
                </c:pt>
                <c:pt idx="2">
                  <c:v>13.781741017066535</c:v>
                </c:pt>
                <c:pt idx="3">
                  <c:v>18.375654689422049</c:v>
                </c:pt>
                <c:pt idx="4">
                  <c:v>22.969568361777554</c:v>
                </c:pt>
                <c:pt idx="5">
                  <c:v>27.56348203413307</c:v>
                </c:pt>
                <c:pt idx="6">
                  <c:v>32.157395706488586</c:v>
                </c:pt>
                <c:pt idx="7">
                  <c:v>36.751309378844098</c:v>
                </c:pt>
                <c:pt idx="8">
                  <c:v>41.345223051199604</c:v>
                </c:pt>
                <c:pt idx="9">
                  <c:v>45.939136723555109</c:v>
                </c:pt>
                <c:pt idx="10">
                  <c:v>50.533050395910621</c:v>
                </c:pt>
                <c:pt idx="11">
                  <c:v>55.12696406826614</c:v>
                </c:pt>
                <c:pt idx="12">
                  <c:v>59.720877740621653</c:v>
                </c:pt>
                <c:pt idx="13">
                  <c:v>64.314791412977172</c:v>
                </c:pt>
                <c:pt idx="14">
                  <c:v>68.908705085332684</c:v>
                </c:pt>
                <c:pt idx="15">
                  <c:v>73.502618757688197</c:v>
                </c:pt>
              </c:numCache>
            </c:numRef>
          </c:xVal>
          <c:yVal>
            <c:numRef>
              <c:f>workings!$E$72:$E$87</c:f>
              <c:numCache>
                <c:formatCode>0</c:formatCode>
                <c:ptCount val="16"/>
                <c:pt idx="0">
                  <c:v>73.631999999999991</c:v>
                </c:pt>
                <c:pt idx="1">
                  <c:v>220.89599999999999</c:v>
                </c:pt>
                <c:pt idx="2">
                  <c:v>368.15999999999997</c:v>
                </c:pt>
                <c:pt idx="3">
                  <c:v>552.24</c:v>
                </c:pt>
                <c:pt idx="4">
                  <c:v>736.31999999999994</c:v>
                </c:pt>
                <c:pt idx="5">
                  <c:v>846.76799999999992</c:v>
                </c:pt>
                <c:pt idx="6">
                  <c:v>913.03679999999986</c:v>
                </c:pt>
                <c:pt idx="7">
                  <c:v>994.03199999999993</c:v>
                </c:pt>
                <c:pt idx="8">
                  <c:v>1030.848</c:v>
                </c:pt>
                <c:pt idx="9">
                  <c:v>1030.848</c:v>
                </c:pt>
                <c:pt idx="10">
                  <c:v>979.3055999999998</c:v>
                </c:pt>
                <c:pt idx="11">
                  <c:v>898.31039999999996</c:v>
                </c:pt>
                <c:pt idx="12">
                  <c:v>809.952</c:v>
                </c:pt>
                <c:pt idx="13">
                  <c:v>736.31999999999994</c:v>
                </c:pt>
                <c:pt idx="14">
                  <c:v>662.68799999999999</c:v>
                </c:pt>
                <c:pt idx="15">
                  <c:v>589.05599999999993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97-3746-A80C-9938A278693E}"/>
            </c:ext>
          </c:extLst>
        </c:ser>
        <c:ser>
          <c:idx val="2"/>
          <c:order val="2"/>
          <c:tx>
            <c:strRef>
              <c:f>workings!$F$71</c:f>
              <c:strCache>
                <c:ptCount val="1"/>
                <c:pt idx="0">
                  <c:v>3rd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workings!$F$72:$F$87</c:f>
              <c:numCache>
                <c:formatCode>0.0</c:formatCode>
                <c:ptCount val="16"/>
                <c:pt idx="0">
                  <c:v>6.5212849724866206</c:v>
                </c:pt>
                <c:pt idx="1">
                  <c:v>13.042569944973241</c:v>
                </c:pt>
                <c:pt idx="2">
                  <c:v>19.56385491745986</c:v>
                </c:pt>
                <c:pt idx="3">
                  <c:v>26.085139889946483</c:v>
                </c:pt>
                <c:pt idx="4">
                  <c:v>32.606424862433094</c:v>
                </c:pt>
                <c:pt idx="5">
                  <c:v>39.12770983491972</c:v>
                </c:pt>
                <c:pt idx="6">
                  <c:v>45.648994807406339</c:v>
                </c:pt>
                <c:pt idx="7">
                  <c:v>52.170279779892965</c:v>
                </c:pt>
                <c:pt idx="8">
                  <c:v>58.691564752379584</c:v>
                </c:pt>
                <c:pt idx="9">
                  <c:v>65.212849724866189</c:v>
                </c:pt>
                <c:pt idx="10">
                  <c:v>71.734134697352815</c:v>
                </c:pt>
                <c:pt idx="11">
                  <c:v>78.255419669839441</c:v>
                </c:pt>
                <c:pt idx="12">
                  <c:v>84.776704642326067</c:v>
                </c:pt>
                <c:pt idx="13">
                  <c:v>91.297989614812678</c:v>
                </c:pt>
                <c:pt idx="14">
                  <c:v>97.819274587299304</c:v>
                </c:pt>
                <c:pt idx="15">
                  <c:v>104.34055955978593</c:v>
                </c:pt>
              </c:numCache>
            </c:numRef>
          </c:xVal>
          <c:yVal>
            <c:numRef>
              <c:f>workings!$G$72:$G$87</c:f>
              <c:numCache>
                <c:formatCode>0</c:formatCode>
                <c:ptCount val="16"/>
                <c:pt idx="0">
                  <c:v>51.870000000000005</c:v>
                </c:pt>
                <c:pt idx="1">
                  <c:v>155.61000000000001</c:v>
                </c:pt>
                <c:pt idx="2">
                  <c:v>259.35000000000002</c:v>
                </c:pt>
                <c:pt idx="3">
                  <c:v>389.02500000000003</c:v>
                </c:pt>
                <c:pt idx="4">
                  <c:v>518.70000000000005</c:v>
                </c:pt>
                <c:pt idx="5">
                  <c:v>596.505</c:v>
                </c:pt>
                <c:pt idx="6">
                  <c:v>643.18799999999999</c:v>
                </c:pt>
                <c:pt idx="7">
                  <c:v>700.245</c:v>
                </c:pt>
                <c:pt idx="8">
                  <c:v>726.18000000000006</c:v>
                </c:pt>
                <c:pt idx="9">
                  <c:v>726.18000000000006</c:v>
                </c:pt>
                <c:pt idx="10">
                  <c:v>689.87099999999998</c:v>
                </c:pt>
                <c:pt idx="11">
                  <c:v>632.81400000000008</c:v>
                </c:pt>
                <c:pt idx="12">
                  <c:v>570.57000000000005</c:v>
                </c:pt>
                <c:pt idx="13">
                  <c:v>518.70000000000005</c:v>
                </c:pt>
                <c:pt idx="14">
                  <c:v>466.83000000000004</c:v>
                </c:pt>
                <c:pt idx="15">
                  <c:v>414.96000000000004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97-3746-A80C-9938A278693E}"/>
            </c:ext>
          </c:extLst>
        </c:ser>
        <c:ser>
          <c:idx val="3"/>
          <c:order val="3"/>
          <c:tx>
            <c:strRef>
              <c:f>workings!$H$71</c:f>
              <c:strCache>
                <c:ptCount val="1"/>
                <c:pt idx="0">
                  <c:v>4th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workings!$H$72:$H$87</c:f>
              <c:numCache>
                <c:formatCode>0.0</c:formatCode>
                <c:ptCount val="16"/>
                <c:pt idx="0">
                  <c:v>8.6733090134072057</c:v>
                </c:pt>
                <c:pt idx="1">
                  <c:v>17.346618026814411</c:v>
                </c:pt>
                <c:pt idx="2">
                  <c:v>26.019927040221617</c:v>
                </c:pt>
                <c:pt idx="3">
                  <c:v>34.693236053628823</c:v>
                </c:pt>
                <c:pt idx="4">
                  <c:v>43.366545067036022</c:v>
                </c:pt>
                <c:pt idx="5">
                  <c:v>52.039854080443234</c:v>
                </c:pt>
                <c:pt idx="6">
                  <c:v>60.71316309385044</c:v>
                </c:pt>
                <c:pt idx="7">
                  <c:v>69.386472107257646</c:v>
                </c:pt>
                <c:pt idx="8">
                  <c:v>78.059781120664852</c:v>
                </c:pt>
                <c:pt idx="9">
                  <c:v>86.733090134072043</c:v>
                </c:pt>
                <c:pt idx="10">
                  <c:v>95.406399147479249</c:v>
                </c:pt>
                <c:pt idx="11">
                  <c:v>104.07970816088647</c:v>
                </c:pt>
                <c:pt idx="12">
                  <c:v>112.75301717429367</c:v>
                </c:pt>
                <c:pt idx="13">
                  <c:v>121.42632618770088</c:v>
                </c:pt>
                <c:pt idx="14">
                  <c:v>130.09963520110807</c:v>
                </c:pt>
                <c:pt idx="15">
                  <c:v>138.77294421451529</c:v>
                </c:pt>
              </c:numCache>
            </c:numRef>
          </c:xVal>
          <c:yVal>
            <c:numRef>
              <c:f>workings!$I$72:$I$87</c:f>
              <c:numCache>
                <c:formatCode>0</c:formatCode>
                <c:ptCount val="16"/>
                <c:pt idx="0">
                  <c:v>39</c:v>
                </c:pt>
                <c:pt idx="1">
                  <c:v>117</c:v>
                </c:pt>
                <c:pt idx="2">
                  <c:v>195</c:v>
                </c:pt>
                <c:pt idx="3">
                  <c:v>292.5</c:v>
                </c:pt>
                <c:pt idx="4">
                  <c:v>390</c:v>
                </c:pt>
                <c:pt idx="5">
                  <c:v>448.5</c:v>
                </c:pt>
                <c:pt idx="6">
                  <c:v>483.59999999999997</c:v>
                </c:pt>
                <c:pt idx="7">
                  <c:v>526.5</c:v>
                </c:pt>
                <c:pt idx="8">
                  <c:v>546</c:v>
                </c:pt>
                <c:pt idx="9">
                  <c:v>546</c:v>
                </c:pt>
                <c:pt idx="10">
                  <c:v>518.69999999999993</c:v>
                </c:pt>
                <c:pt idx="11">
                  <c:v>475.8</c:v>
                </c:pt>
                <c:pt idx="12">
                  <c:v>429</c:v>
                </c:pt>
                <c:pt idx="13">
                  <c:v>390</c:v>
                </c:pt>
                <c:pt idx="14">
                  <c:v>351</c:v>
                </c:pt>
                <c:pt idx="15">
                  <c:v>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97-3746-A80C-9938A278693E}"/>
            </c:ext>
          </c:extLst>
        </c:ser>
        <c:ser>
          <c:idx val="4"/>
          <c:order val="4"/>
          <c:tx>
            <c:strRef>
              <c:f>workings!$J$71</c:f>
              <c:strCache>
                <c:ptCount val="1"/>
                <c:pt idx="0">
                  <c:v>5th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workings!$J$72:$J$87</c:f>
              <c:numCache>
                <c:formatCode>0.0</c:formatCode>
                <c:ptCount val="16"/>
                <c:pt idx="0">
                  <c:v>10.65517077814153</c:v>
                </c:pt>
                <c:pt idx="1">
                  <c:v>21.31034155628306</c:v>
                </c:pt>
                <c:pt idx="2">
                  <c:v>31.965512334424592</c:v>
                </c:pt>
                <c:pt idx="3">
                  <c:v>42.62068311256612</c:v>
                </c:pt>
                <c:pt idx="4">
                  <c:v>53.275853890707644</c:v>
                </c:pt>
                <c:pt idx="5">
                  <c:v>63.931024668849183</c:v>
                </c:pt>
                <c:pt idx="6">
                  <c:v>74.586195446990715</c:v>
                </c:pt>
                <c:pt idx="7">
                  <c:v>85.241366225132239</c:v>
                </c:pt>
                <c:pt idx="8">
                  <c:v>95.896537003273778</c:v>
                </c:pt>
                <c:pt idx="9">
                  <c:v>106.55170778141529</c:v>
                </c:pt>
                <c:pt idx="10">
                  <c:v>117.20687855955681</c:v>
                </c:pt>
                <c:pt idx="11">
                  <c:v>127.86204933769837</c:v>
                </c:pt>
                <c:pt idx="12">
                  <c:v>138.5172201158399</c:v>
                </c:pt>
                <c:pt idx="13">
                  <c:v>149.17239089398143</c:v>
                </c:pt>
                <c:pt idx="14">
                  <c:v>159.82756167212295</c:v>
                </c:pt>
                <c:pt idx="15">
                  <c:v>170.48273245026448</c:v>
                </c:pt>
              </c:numCache>
            </c:numRef>
          </c:xVal>
          <c:yVal>
            <c:numRef>
              <c:f>workings!$K$72:$K$87</c:f>
              <c:numCache>
                <c:formatCode>0</c:formatCode>
                <c:ptCount val="16"/>
                <c:pt idx="0">
                  <c:v>31.745999999999999</c:v>
                </c:pt>
                <c:pt idx="1">
                  <c:v>95.238</c:v>
                </c:pt>
                <c:pt idx="2">
                  <c:v>158.72999999999999</c:v>
                </c:pt>
                <c:pt idx="3">
                  <c:v>238.09499999999997</c:v>
                </c:pt>
                <c:pt idx="4">
                  <c:v>317.45999999999998</c:v>
                </c:pt>
                <c:pt idx="5">
                  <c:v>365.07899999999995</c:v>
                </c:pt>
                <c:pt idx="6">
                  <c:v>393.65039999999993</c:v>
                </c:pt>
                <c:pt idx="7">
                  <c:v>428.57099999999997</c:v>
                </c:pt>
                <c:pt idx="8">
                  <c:v>444.44399999999996</c:v>
                </c:pt>
                <c:pt idx="9">
                  <c:v>444.44399999999996</c:v>
                </c:pt>
                <c:pt idx="10">
                  <c:v>422.22179999999992</c:v>
                </c:pt>
                <c:pt idx="11">
                  <c:v>387.30119999999999</c:v>
                </c:pt>
                <c:pt idx="12">
                  <c:v>349.20599999999996</c:v>
                </c:pt>
                <c:pt idx="13">
                  <c:v>317.45999999999998</c:v>
                </c:pt>
                <c:pt idx="14">
                  <c:v>285.714</c:v>
                </c:pt>
                <c:pt idx="15">
                  <c:v>253.96799999999999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97-3746-A80C-9938A2786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385360"/>
        <c:axId val="1088387040"/>
      </c:scatterChart>
      <c:valAx>
        <c:axId val="108838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387040"/>
        <c:crosses val="autoZero"/>
        <c:crossBetween val="midCat"/>
      </c:valAx>
      <c:valAx>
        <c:axId val="10883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38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Torque</a:t>
            </a:r>
            <a:r>
              <a:rPr lang="en-US" baseline="0"/>
              <a:t> in 1st and 2nd Gear (Torque at Wheel ft lbs v Speed mph)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workings!$B$71</c:f>
              <c:strCache>
                <c:ptCount val="1"/>
                <c:pt idx="0">
                  <c:v>1st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workings!$B$72:$B$87</c:f>
              <c:numCache>
                <c:formatCode>0.0</c:formatCode>
                <c:ptCount val="16"/>
                <c:pt idx="0">
                  <c:v>2.7657235374385221</c:v>
                </c:pt>
                <c:pt idx="1">
                  <c:v>5.5314470748770441</c:v>
                </c:pt>
                <c:pt idx="2">
                  <c:v>8.2971706123155666</c:v>
                </c:pt>
                <c:pt idx="3">
                  <c:v>11.062894149754088</c:v>
                </c:pt>
                <c:pt idx="4">
                  <c:v>13.828617687192608</c:v>
                </c:pt>
                <c:pt idx="5">
                  <c:v>16.594341224631133</c:v>
                </c:pt>
                <c:pt idx="6">
                  <c:v>19.360064762069655</c:v>
                </c:pt>
                <c:pt idx="7">
                  <c:v>22.125788299508176</c:v>
                </c:pt>
                <c:pt idx="8">
                  <c:v>24.891511836946702</c:v>
                </c:pt>
                <c:pt idx="9">
                  <c:v>27.657235374385216</c:v>
                </c:pt>
                <c:pt idx="10">
                  <c:v>30.422958911823741</c:v>
                </c:pt>
                <c:pt idx="11">
                  <c:v>33.188682449262267</c:v>
                </c:pt>
                <c:pt idx="12">
                  <c:v>35.954405986700792</c:v>
                </c:pt>
                <c:pt idx="13">
                  <c:v>38.72012952413931</c:v>
                </c:pt>
                <c:pt idx="14">
                  <c:v>41.485853061577835</c:v>
                </c:pt>
                <c:pt idx="15">
                  <c:v>44.251576599016353</c:v>
                </c:pt>
              </c:numCache>
            </c:numRef>
          </c:xVal>
          <c:yVal>
            <c:numRef>
              <c:f>workings!$C$72:$C$87</c:f>
              <c:numCache>
                <c:formatCode>0</c:formatCode>
                <c:ptCount val="16"/>
                <c:pt idx="0">
                  <c:v>122.304</c:v>
                </c:pt>
                <c:pt idx="1">
                  <c:v>366.91200000000003</c:v>
                </c:pt>
                <c:pt idx="2">
                  <c:v>611.52</c:v>
                </c:pt>
                <c:pt idx="3">
                  <c:v>917.28000000000009</c:v>
                </c:pt>
                <c:pt idx="4">
                  <c:v>1223.04</c:v>
                </c:pt>
                <c:pt idx="5">
                  <c:v>1406.4960000000001</c:v>
                </c:pt>
                <c:pt idx="6">
                  <c:v>1516.5696</c:v>
                </c:pt>
                <c:pt idx="7">
                  <c:v>1651.104</c:v>
                </c:pt>
                <c:pt idx="8">
                  <c:v>1712.2560000000001</c:v>
                </c:pt>
                <c:pt idx="9">
                  <c:v>1712.2560000000001</c:v>
                </c:pt>
                <c:pt idx="10">
                  <c:v>1626.6431999999998</c:v>
                </c:pt>
                <c:pt idx="11">
                  <c:v>1492.1088000000002</c:v>
                </c:pt>
                <c:pt idx="12">
                  <c:v>1345.3440000000001</c:v>
                </c:pt>
                <c:pt idx="13">
                  <c:v>1223.04</c:v>
                </c:pt>
                <c:pt idx="14">
                  <c:v>1100.7360000000001</c:v>
                </c:pt>
                <c:pt idx="15">
                  <c:v>978.43200000000002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6-2B49-924D-7EC752EC68F6}"/>
            </c:ext>
          </c:extLst>
        </c:ser>
        <c:ser>
          <c:idx val="1"/>
          <c:order val="1"/>
          <c:tx>
            <c:strRef>
              <c:f>workings!$D$71</c:f>
              <c:strCache>
                <c:ptCount val="1"/>
                <c:pt idx="0">
                  <c:v>2nd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workings!$D$72:$D$87</c:f>
              <c:numCache>
                <c:formatCode>0.0</c:formatCode>
                <c:ptCount val="16"/>
                <c:pt idx="0">
                  <c:v>4.5939136723555123</c:v>
                </c:pt>
                <c:pt idx="1">
                  <c:v>9.1878273447110246</c:v>
                </c:pt>
                <c:pt idx="2">
                  <c:v>13.781741017066535</c:v>
                </c:pt>
                <c:pt idx="3">
                  <c:v>18.375654689422049</c:v>
                </c:pt>
                <c:pt idx="4">
                  <c:v>22.969568361777554</c:v>
                </c:pt>
                <c:pt idx="5">
                  <c:v>27.56348203413307</c:v>
                </c:pt>
                <c:pt idx="6">
                  <c:v>32.157395706488586</c:v>
                </c:pt>
                <c:pt idx="7">
                  <c:v>36.751309378844098</c:v>
                </c:pt>
                <c:pt idx="8">
                  <c:v>41.345223051199604</c:v>
                </c:pt>
                <c:pt idx="9">
                  <c:v>45.939136723555109</c:v>
                </c:pt>
                <c:pt idx="10">
                  <c:v>50.533050395910621</c:v>
                </c:pt>
                <c:pt idx="11">
                  <c:v>55.12696406826614</c:v>
                </c:pt>
                <c:pt idx="12">
                  <c:v>59.720877740621653</c:v>
                </c:pt>
                <c:pt idx="13">
                  <c:v>64.314791412977172</c:v>
                </c:pt>
                <c:pt idx="14">
                  <c:v>68.908705085332684</c:v>
                </c:pt>
                <c:pt idx="15">
                  <c:v>73.502618757688197</c:v>
                </c:pt>
              </c:numCache>
            </c:numRef>
          </c:xVal>
          <c:yVal>
            <c:numRef>
              <c:f>workings!$E$72:$E$87</c:f>
              <c:numCache>
                <c:formatCode>0</c:formatCode>
                <c:ptCount val="16"/>
                <c:pt idx="0">
                  <c:v>73.631999999999991</c:v>
                </c:pt>
                <c:pt idx="1">
                  <c:v>220.89599999999999</c:v>
                </c:pt>
                <c:pt idx="2">
                  <c:v>368.15999999999997</c:v>
                </c:pt>
                <c:pt idx="3">
                  <c:v>552.24</c:v>
                </c:pt>
                <c:pt idx="4">
                  <c:v>736.31999999999994</c:v>
                </c:pt>
                <c:pt idx="5">
                  <c:v>846.76799999999992</c:v>
                </c:pt>
                <c:pt idx="6">
                  <c:v>913.03679999999986</c:v>
                </c:pt>
                <c:pt idx="7">
                  <c:v>994.03199999999993</c:v>
                </c:pt>
                <c:pt idx="8">
                  <c:v>1030.848</c:v>
                </c:pt>
                <c:pt idx="9">
                  <c:v>1030.848</c:v>
                </c:pt>
                <c:pt idx="10">
                  <c:v>979.3055999999998</c:v>
                </c:pt>
                <c:pt idx="11">
                  <c:v>898.31039999999996</c:v>
                </c:pt>
                <c:pt idx="12">
                  <c:v>809.952</c:v>
                </c:pt>
                <c:pt idx="13">
                  <c:v>736.31999999999994</c:v>
                </c:pt>
                <c:pt idx="14">
                  <c:v>662.68799999999999</c:v>
                </c:pt>
                <c:pt idx="15">
                  <c:v>589.05599999999993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6-2B49-924D-7EC752EC6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385360"/>
        <c:axId val="1088387040"/>
      </c:scatterChart>
      <c:valAx>
        <c:axId val="108838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387040"/>
        <c:crosses val="autoZero"/>
        <c:crossBetween val="midCat"/>
      </c:valAx>
      <c:valAx>
        <c:axId val="10883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38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verse Road Speed</a:t>
            </a:r>
            <a:r>
              <a:rPr lang="en-US" baseline="0"/>
              <a:t> (mph) per Gear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workings!$C$28</c:f>
              <c:strCache>
                <c:ptCount val="1"/>
                <c:pt idx="0">
                  <c:v>1st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workings!$C$31:$C$46</c:f>
              <c:numCache>
                <c:formatCode>0.0</c:formatCode>
                <c:ptCount val="16"/>
                <c:pt idx="0">
                  <c:v>2.7657235374385221</c:v>
                </c:pt>
                <c:pt idx="1">
                  <c:v>5.5314470748770441</c:v>
                </c:pt>
                <c:pt idx="2">
                  <c:v>8.2971706123155666</c:v>
                </c:pt>
                <c:pt idx="3">
                  <c:v>11.062894149754088</c:v>
                </c:pt>
                <c:pt idx="4">
                  <c:v>13.828617687192608</c:v>
                </c:pt>
                <c:pt idx="5">
                  <c:v>16.594341224631133</c:v>
                </c:pt>
                <c:pt idx="6">
                  <c:v>19.360064762069655</c:v>
                </c:pt>
                <c:pt idx="7">
                  <c:v>22.125788299508176</c:v>
                </c:pt>
                <c:pt idx="8">
                  <c:v>24.891511836946702</c:v>
                </c:pt>
                <c:pt idx="9">
                  <c:v>27.657235374385216</c:v>
                </c:pt>
                <c:pt idx="10">
                  <c:v>30.422958911823741</c:v>
                </c:pt>
                <c:pt idx="11">
                  <c:v>33.188682449262267</c:v>
                </c:pt>
                <c:pt idx="12">
                  <c:v>35.954405986700792</c:v>
                </c:pt>
                <c:pt idx="13">
                  <c:v>38.72012952413931</c:v>
                </c:pt>
                <c:pt idx="14">
                  <c:v>41.485853061577835</c:v>
                </c:pt>
                <c:pt idx="15">
                  <c:v>44.251576599016353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5-6C48-B868-41BBE799DDCF}"/>
            </c:ext>
          </c:extLst>
        </c:ser>
        <c:ser>
          <c:idx val="1"/>
          <c:order val="1"/>
          <c:tx>
            <c:strRef>
              <c:f>workings!$D$28</c:f>
              <c:strCache>
                <c:ptCount val="1"/>
                <c:pt idx="0">
                  <c:v>2nd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workings!$D$31:$D$46</c:f>
              <c:numCache>
                <c:formatCode>0.0</c:formatCode>
                <c:ptCount val="16"/>
                <c:pt idx="0">
                  <c:v>4.5939136723555123</c:v>
                </c:pt>
                <c:pt idx="1">
                  <c:v>9.1878273447110246</c:v>
                </c:pt>
                <c:pt idx="2">
                  <c:v>13.781741017066535</c:v>
                </c:pt>
                <c:pt idx="3">
                  <c:v>18.375654689422049</c:v>
                </c:pt>
                <c:pt idx="4">
                  <c:v>22.969568361777554</c:v>
                </c:pt>
                <c:pt idx="5">
                  <c:v>27.56348203413307</c:v>
                </c:pt>
                <c:pt idx="6">
                  <c:v>32.157395706488586</c:v>
                </c:pt>
                <c:pt idx="7">
                  <c:v>36.751309378844098</c:v>
                </c:pt>
                <c:pt idx="8">
                  <c:v>41.345223051199604</c:v>
                </c:pt>
                <c:pt idx="9">
                  <c:v>45.939136723555109</c:v>
                </c:pt>
                <c:pt idx="10">
                  <c:v>50.533050395910621</c:v>
                </c:pt>
                <c:pt idx="11">
                  <c:v>55.12696406826614</c:v>
                </c:pt>
                <c:pt idx="12">
                  <c:v>59.720877740621653</c:v>
                </c:pt>
                <c:pt idx="13">
                  <c:v>64.314791412977172</c:v>
                </c:pt>
                <c:pt idx="14">
                  <c:v>68.908705085332684</c:v>
                </c:pt>
                <c:pt idx="15">
                  <c:v>73.502618757688197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E5-6C48-B868-41BBE799DDCF}"/>
            </c:ext>
          </c:extLst>
        </c:ser>
        <c:ser>
          <c:idx val="2"/>
          <c:order val="2"/>
          <c:tx>
            <c:strRef>
              <c:f>workings!$E$28</c:f>
              <c:strCache>
                <c:ptCount val="1"/>
                <c:pt idx="0">
                  <c:v>3rd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workings!$E$31:$E$46</c:f>
              <c:numCache>
                <c:formatCode>0.0</c:formatCode>
                <c:ptCount val="16"/>
                <c:pt idx="0">
                  <c:v>6.5212849724866206</c:v>
                </c:pt>
                <c:pt idx="1">
                  <c:v>13.042569944973241</c:v>
                </c:pt>
                <c:pt idx="2">
                  <c:v>19.56385491745986</c:v>
                </c:pt>
                <c:pt idx="3">
                  <c:v>26.085139889946483</c:v>
                </c:pt>
                <c:pt idx="4">
                  <c:v>32.606424862433094</c:v>
                </c:pt>
                <c:pt idx="5">
                  <c:v>39.12770983491972</c:v>
                </c:pt>
                <c:pt idx="6">
                  <c:v>45.648994807406339</c:v>
                </c:pt>
                <c:pt idx="7">
                  <c:v>52.170279779892965</c:v>
                </c:pt>
                <c:pt idx="8">
                  <c:v>58.691564752379584</c:v>
                </c:pt>
                <c:pt idx="9">
                  <c:v>65.212849724866189</c:v>
                </c:pt>
                <c:pt idx="10">
                  <c:v>71.734134697352815</c:v>
                </c:pt>
                <c:pt idx="11">
                  <c:v>78.255419669839441</c:v>
                </c:pt>
                <c:pt idx="12">
                  <c:v>84.776704642326067</c:v>
                </c:pt>
                <c:pt idx="13">
                  <c:v>91.297989614812678</c:v>
                </c:pt>
                <c:pt idx="14">
                  <c:v>97.819274587299304</c:v>
                </c:pt>
                <c:pt idx="15">
                  <c:v>104.34055955978593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E5-6C48-B868-41BBE799DDCF}"/>
            </c:ext>
          </c:extLst>
        </c:ser>
        <c:ser>
          <c:idx val="3"/>
          <c:order val="3"/>
          <c:tx>
            <c:strRef>
              <c:f>workings!$F$28</c:f>
              <c:strCache>
                <c:ptCount val="1"/>
                <c:pt idx="0">
                  <c:v>4th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workings!$F$31:$F$46</c:f>
              <c:numCache>
                <c:formatCode>0.0</c:formatCode>
                <c:ptCount val="16"/>
                <c:pt idx="0">
                  <c:v>8.6733090134072057</c:v>
                </c:pt>
                <c:pt idx="1">
                  <c:v>17.346618026814411</c:v>
                </c:pt>
                <c:pt idx="2">
                  <c:v>26.019927040221617</c:v>
                </c:pt>
                <c:pt idx="3">
                  <c:v>34.693236053628823</c:v>
                </c:pt>
                <c:pt idx="4">
                  <c:v>43.366545067036022</c:v>
                </c:pt>
                <c:pt idx="5">
                  <c:v>52.039854080443234</c:v>
                </c:pt>
                <c:pt idx="6">
                  <c:v>60.71316309385044</c:v>
                </c:pt>
                <c:pt idx="7">
                  <c:v>69.386472107257646</c:v>
                </c:pt>
                <c:pt idx="8">
                  <c:v>78.059781120664852</c:v>
                </c:pt>
                <c:pt idx="9">
                  <c:v>86.733090134072043</c:v>
                </c:pt>
                <c:pt idx="10">
                  <c:v>95.406399147479249</c:v>
                </c:pt>
                <c:pt idx="11">
                  <c:v>104.07970816088647</c:v>
                </c:pt>
                <c:pt idx="12">
                  <c:v>112.75301717429367</c:v>
                </c:pt>
                <c:pt idx="13">
                  <c:v>121.42632618770088</c:v>
                </c:pt>
                <c:pt idx="14">
                  <c:v>130.09963520110807</c:v>
                </c:pt>
                <c:pt idx="15">
                  <c:v>138.77294421451529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E5-6C48-B868-41BBE799DDCF}"/>
            </c:ext>
          </c:extLst>
        </c:ser>
        <c:ser>
          <c:idx val="4"/>
          <c:order val="4"/>
          <c:tx>
            <c:strRef>
              <c:f>workings!$G$28</c:f>
              <c:strCache>
                <c:ptCount val="1"/>
                <c:pt idx="0">
                  <c:v>5th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workings!$G$31:$G$46</c:f>
              <c:numCache>
                <c:formatCode>0.0</c:formatCode>
                <c:ptCount val="16"/>
                <c:pt idx="0">
                  <c:v>10.65517077814153</c:v>
                </c:pt>
                <c:pt idx="1">
                  <c:v>21.31034155628306</c:v>
                </c:pt>
                <c:pt idx="2">
                  <c:v>31.965512334424592</c:v>
                </c:pt>
                <c:pt idx="3">
                  <c:v>42.62068311256612</c:v>
                </c:pt>
                <c:pt idx="4">
                  <c:v>53.275853890707644</c:v>
                </c:pt>
                <c:pt idx="5">
                  <c:v>63.931024668849183</c:v>
                </c:pt>
                <c:pt idx="6">
                  <c:v>74.586195446990715</c:v>
                </c:pt>
                <c:pt idx="7">
                  <c:v>85.241366225132239</c:v>
                </c:pt>
                <c:pt idx="8">
                  <c:v>95.896537003273778</c:v>
                </c:pt>
                <c:pt idx="9">
                  <c:v>106.55170778141529</c:v>
                </c:pt>
                <c:pt idx="10">
                  <c:v>117.20687855955681</c:v>
                </c:pt>
                <c:pt idx="11">
                  <c:v>127.86204933769837</c:v>
                </c:pt>
                <c:pt idx="12">
                  <c:v>138.5172201158399</c:v>
                </c:pt>
                <c:pt idx="13">
                  <c:v>149.17239089398143</c:v>
                </c:pt>
                <c:pt idx="14">
                  <c:v>159.82756167212295</c:v>
                </c:pt>
                <c:pt idx="15">
                  <c:v>170.48273245026448</c:v>
                </c:pt>
              </c:numCache>
            </c:numRef>
          </c:xVal>
          <c:yVal>
            <c:numRef>
              <c:f>workings!$B$31:$B$46</c:f>
              <c:numCache>
                <c:formatCode>General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E5-6C48-B868-41BBE7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284512"/>
        <c:axId val="677832288"/>
      </c:scatterChart>
      <c:valAx>
        <c:axId val="70428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2288"/>
        <c:crosses val="autoZero"/>
        <c:crossBetween val="midCat"/>
      </c:valAx>
      <c:valAx>
        <c:axId val="67783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84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workings!$F$7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3.xml"/><Relationship Id="rId13" Type="http://schemas.openxmlformats.org/officeDocument/2006/relationships/customXml" Target="../ink/ink5.xml"/><Relationship Id="rId18" Type="http://schemas.openxmlformats.org/officeDocument/2006/relationships/customXml" Target="../ink/ink7.xml"/><Relationship Id="rId3" Type="http://schemas.openxmlformats.org/officeDocument/2006/relationships/chart" Target="../charts/chart6.xml"/><Relationship Id="rId21" Type="http://schemas.openxmlformats.org/officeDocument/2006/relationships/image" Target="../media/image9.png"/><Relationship Id="rId7" Type="http://schemas.openxmlformats.org/officeDocument/2006/relationships/image" Target="../media/image3.png"/><Relationship Id="rId12" Type="http://schemas.openxmlformats.org/officeDocument/2006/relationships/chart" Target="../charts/chart7.xml"/><Relationship Id="rId17" Type="http://schemas.openxmlformats.org/officeDocument/2006/relationships/chart" Target="../charts/chart8.xml"/><Relationship Id="rId2" Type="http://schemas.openxmlformats.org/officeDocument/2006/relationships/chart" Target="../charts/chart5.xml"/><Relationship Id="rId16" Type="http://schemas.openxmlformats.org/officeDocument/2006/relationships/image" Target="../media/image7.png"/><Relationship Id="rId20" Type="http://schemas.openxmlformats.org/officeDocument/2006/relationships/customXml" Target="../ink/ink8.xml"/><Relationship Id="rId1" Type="http://schemas.openxmlformats.org/officeDocument/2006/relationships/chart" Target="../charts/chart4.xml"/><Relationship Id="rId6" Type="http://schemas.openxmlformats.org/officeDocument/2006/relationships/customXml" Target="../ink/ink2.xml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5" Type="http://schemas.openxmlformats.org/officeDocument/2006/relationships/customXml" Target="../ink/ink6.xml"/><Relationship Id="rId10" Type="http://schemas.openxmlformats.org/officeDocument/2006/relationships/customXml" Target="../ink/ink4.xml"/><Relationship Id="rId19" Type="http://schemas.openxmlformats.org/officeDocument/2006/relationships/image" Target="../media/image8.png"/><Relationship Id="rId4" Type="http://schemas.openxmlformats.org/officeDocument/2006/relationships/customXml" Target="../ink/ink1.xml"/><Relationship Id="rId9" Type="http://schemas.openxmlformats.org/officeDocument/2006/relationships/image" Target="../media/image4.png"/><Relationship Id="rId1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546100</xdr:colOff>
      <xdr:row>25</xdr:row>
      <xdr:rowOff>25400</xdr:rowOff>
    </xdr:from>
    <xdr:to>
      <xdr:col>18</xdr:col>
      <xdr:colOff>698500</xdr:colOff>
      <xdr:row>57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419100</xdr:colOff>
      <xdr:row>5</xdr:row>
      <xdr:rowOff>19050</xdr:rowOff>
    </xdr:from>
    <xdr:to>
      <xdr:col>18</xdr:col>
      <xdr:colOff>711200</xdr:colOff>
      <xdr:row>22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34</xdr:row>
      <xdr:rowOff>88900</xdr:rowOff>
    </xdr:from>
    <xdr:to>
      <xdr:col>10</xdr:col>
      <xdr:colOff>800100</xdr:colOff>
      <xdr:row>57</xdr:row>
      <xdr:rowOff>25400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738428</xdr:colOff>
      <xdr:row>3</xdr:row>
      <xdr:rowOff>12700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59328" cy="622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254000</xdr:colOff>
          <xdr:row>4</xdr:row>
          <xdr:rowOff>0</xdr:rowOff>
        </xdr:from>
        <xdr:to>
          <xdr:col>8</xdr:col>
          <xdr:colOff>342900</xdr:colOff>
          <xdr:row>5</xdr:row>
          <xdr:rowOff>38100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ft lb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4</xdr:row>
          <xdr:rowOff>0</xdr:rowOff>
        </xdr:from>
        <xdr:to>
          <xdr:col>9</xdr:col>
          <xdr:colOff>279400</xdr:colOff>
          <xdr:row>5</xdr:row>
          <xdr:rowOff>38100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</xdr:colOff>
      <xdr:row>27</xdr:row>
      <xdr:rowOff>0</xdr:rowOff>
    </xdr:from>
    <xdr:to>
      <xdr:col>13</xdr:col>
      <xdr:colOff>254000</xdr:colOff>
      <xdr:row>45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47</xdr:row>
      <xdr:rowOff>196850</xdr:rowOff>
    </xdr:from>
    <xdr:to>
      <xdr:col>13</xdr:col>
      <xdr:colOff>317500</xdr:colOff>
      <xdr:row>67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635000</xdr:colOff>
      <xdr:row>68</xdr:row>
      <xdr:rowOff>152400</xdr:rowOff>
    </xdr:from>
    <xdr:to>
      <xdr:col>22</xdr:col>
      <xdr:colOff>609600</xdr:colOff>
      <xdr:row>91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259220</xdr:colOff>
      <xdr:row>57</xdr:row>
      <xdr:rowOff>111964</xdr:rowOff>
    </xdr:from>
    <xdr:to>
      <xdr:col>25</xdr:col>
      <xdr:colOff>563720</xdr:colOff>
      <xdr:row>66</xdr:row>
      <xdr:rowOff>186381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8420220" y="11986464"/>
          <a:ext cx="2781000" cy="1903217"/>
          <a:chOff x="12006720" y="17436880"/>
          <a:chExt cx="2781000" cy="1884167"/>
        </a:xfrm>
      </xdr:grpSpPr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">
            <xdr14:nvContentPartPr>
              <xdr14:cNvPr id="10" name="Ink 9">
                <a:extLst>
                  <a:ext uri="{FF2B5EF4-FFF2-40B4-BE49-F238E27FC236}">
                    <a16:creationId xmlns:a16="http://schemas.microsoft.com/office/drawing/2014/main" id="{00000000-0008-0000-0100-00000A000000}"/>
                  </a:ext>
                </a:extLst>
              </xdr14:cNvPr>
              <xdr14:cNvContentPartPr/>
            </xdr14:nvContentPartPr>
            <xdr14:nvPr macro=""/>
            <xdr14:xfrm>
              <a:off x="12006720" y="17436880"/>
              <a:ext cx="299160" cy="562464"/>
            </xdr14:xfrm>
          </xdr14:contentPart>
        </mc:Choice>
        <mc:Fallback xmlns="">
          <xdr:pic>
            <xdr:nvPicPr>
              <xdr:cNvPr id="10" name="Ink 9">
                <a:extLst>
                  <a:ext uri="{FF2B5EF4-FFF2-40B4-BE49-F238E27FC236}">
                    <a16:creationId xmlns:a16="http://schemas.microsoft.com/office/drawing/2014/main" id="{E7842AD1-4E6C-414D-8757-4691EFE57D4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"/>
              <a:stretch>
                <a:fillRect/>
              </a:stretch>
            </xdr:blipFill>
            <xdr:spPr>
              <a:xfrm>
                <a:off x="11997709" y="17428282"/>
                <a:ext cx="316821" cy="58001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6">
            <xdr14:nvContentPartPr>
              <xdr14:cNvPr id="15" name="Ink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14:cNvPr>
              <xdr14:cNvContentPartPr/>
            </xdr14:nvContentPartPr>
            <xdr14:nvPr macro=""/>
            <xdr14:xfrm>
              <a:off x="12796920" y="18264447"/>
              <a:ext cx="261000" cy="364464"/>
            </xdr14:xfrm>
          </xdr14:contentPart>
        </mc:Choice>
        <mc:Fallback xmlns="">
          <xdr:pic>
            <xdr:nvPicPr>
              <xdr:cNvPr id="15" name="Ink 14">
                <a:extLst>
                  <a:ext uri="{FF2B5EF4-FFF2-40B4-BE49-F238E27FC236}">
                    <a16:creationId xmlns:a16="http://schemas.microsoft.com/office/drawing/2014/main" id="{3B8F3A47-E7D2-4A49-8FF0-67A26D04A9A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"/>
              <a:stretch>
                <a:fillRect/>
              </a:stretch>
            </xdr:blipFill>
            <xdr:spPr>
              <a:xfrm>
                <a:off x="12788280" y="18255461"/>
                <a:ext cx="278640" cy="38207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8">
            <xdr14:nvContentPartPr>
              <xdr14:cNvPr id="20" name="Ink 19">
                <a:extLst>
                  <a:ext uri="{FF2B5EF4-FFF2-40B4-BE49-F238E27FC236}">
                    <a16:creationId xmlns:a16="http://schemas.microsoft.com/office/drawing/2014/main" id="{00000000-0008-0000-0100-000014000000}"/>
                  </a:ext>
                </a:extLst>
              </xdr14:cNvPr>
              <xdr14:cNvContentPartPr/>
            </xdr14:nvContentPartPr>
            <xdr14:nvPr macro=""/>
            <xdr14:xfrm>
              <a:off x="13603680" y="18643671"/>
              <a:ext cx="231840" cy="402625"/>
            </xdr14:xfrm>
          </xdr14:contentPart>
        </mc:Choice>
        <mc:Fallback xmlns="">
          <xdr:pic>
            <xdr:nvPicPr>
              <xdr:cNvPr id="20" name="Ink 19">
                <a:extLst>
                  <a:ext uri="{FF2B5EF4-FFF2-40B4-BE49-F238E27FC236}">
                    <a16:creationId xmlns:a16="http://schemas.microsoft.com/office/drawing/2014/main" id="{7C74C0C4-B4E6-2A48-87AB-F8F931BF165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"/>
              <a:stretch>
                <a:fillRect/>
              </a:stretch>
            </xdr:blipFill>
            <xdr:spPr>
              <a:xfrm>
                <a:off x="13594680" y="18635059"/>
                <a:ext cx="249480" cy="42020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0">
            <xdr14:nvContentPartPr>
              <xdr14:cNvPr id="25" name="Ink 24">
                <a:extLst>
                  <a:ext uri="{FF2B5EF4-FFF2-40B4-BE49-F238E27FC236}">
                    <a16:creationId xmlns:a16="http://schemas.microsoft.com/office/drawing/2014/main" id="{00000000-0008-0000-0100-000019000000}"/>
                  </a:ext>
                </a:extLst>
              </xdr14:cNvPr>
              <xdr14:cNvContentPartPr/>
            </xdr14:nvContentPartPr>
            <xdr14:nvPr macro=""/>
            <xdr14:xfrm>
              <a:off x="14491440" y="18771471"/>
              <a:ext cx="296280" cy="549576"/>
            </xdr14:xfrm>
          </xdr14:contentPart>
        </mc:Choice>
        <mc:Fallback xmlns="">
          <xdr:pic>
            <xdr:nvPicPr>
              <xdr:cNvPr id="25" name="Ink 24">
                <a:extLst>
                  <a:ext uri="{FF2B5EF4-FFF2-40B4-BE49-F238E27FC236}">
                    <a16:creationId xmlns:a16="http://schemas.microsoft.com/office/drawing/2014/main" id="{8BABF456-007C-AB42-AE15-38E196A0749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"/>
              <a:stretch>
                <a:fillRect/>
              </a:stretch>
            </xdr:blipFill>
            <xdr:spPr>
              <a:xfrm>
                <a:off x="14482800" y="18762845"/>
                <a:ext cx="313920" cy="567188"/>
              </a:xfrm>
              <a:prstGeom prst="rect">
                <a:avLst/>
              </a:prstGeom>
            </xdr:spPr>
          </xdr:pic>
        </mc:Fallback>
      </mc:AlternateContent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 rot="1476042">
            <a:off x="12790713" y="17699868"/>
            <a:ext cx="198496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/>
              <a:t>Change</a:t>
            </a:r>
            <a:r>
              <a:rPr lang="en-US" sz="1800" baseline="0"/>
              <a:t> gear here!!</a:t>
            </a:r>
            <a:endParaRPr lang="en-US" sz="1800"/>
          </a:p>
        </xdr:txBody>
      </xdr:sp>
    </xdr:grpSp>
    <xdr:clientData/>
  </xdr:twoCellAnchor>
  <xdr:twoCellAnchor>
    <xdr:from>
      <xdr:col>14</xdr:col>
      <xdr:colOff>3342</xdr:colOff>
      <xdr:row>94</xdr:row>
      <xdr:rowOff>88900</xdr:rowOff>
    </xdr:from>
    <xdr:to>
      <xdr:col>22</xdr:col>
      <xdr:colOff>800100</xdr:colOff>
      <xdr:row>117</xdr:row>
      <xdr:rowOff>38101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/>
      </xdr:nvGrpSpPr>
      <xdr:grpSpPr>
        <a:xfrm>
          <a:off x="11560342" y="19481800"/>
          <a:ext cx="7400758" cy="4622801"/>
          <a:chOff x="10734842" y="21437600"/>
          <a:chExt cx="7400758" cy="4622801"/>
        </a:xfrm>
      </xdr:grpSpPr>
      <xdr:graphicFrame macro="">
        <xdr:nvGraphicFramePr>
          <xdr:cNvPr id="30" name="Chart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GraphicFramePr>
            <a:graphicFrameLocks/>
          </xdr:cNvGraphicFramePr>
        </xdr:nvGraphicFramePr>
        <xdr:xfrm>
          <a:off x="10734842" y="21437600"/>
          <a:ext cx="7400758" cy="46228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3">
            <xdr14:nvContentPartPr>
              <xdr14:cNvPr id="31" name="Ink 30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14:cNvPr>
              <xdr14:cNvContentPartPr/>
            </xdr14:nvContentPartPr>
            <xdr14:nvPr macro=""/>
            <xdr14:xfrm>
              <a:off x="14964327" y="22810284"/>
              <a:ext cx="300239" cy="568990"/>
            </xdr14:xfrm>
          </xdr14:contentPart>
        </mc:Choice>
        <mc:Fallback xmlns="">
          <xdr:pic>
            <xdr:nvPicPr>
              <xdr:cNvPr id="31" name="Ink 30">
                <a:extLst>
                  <a:ext uri="{FF2B5EF4-FFF2-40B4-BE49-F238E27FC236}">
                    <a16:creationId xmlns:a16="http://schemas.microsoft.com/office/drawing/2014/main" id="{3060BACE-8A39-FA4B-A4FF-31D09DBD6B6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14955327" y="22801855"/>
                <a:ext cx="317879" cy="5862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5">
            <xdr14:nvContentPartPr>
              <xdr14:cNvPr id="42" name="Ink 4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14:cNvPr>
              <xdr14:cNvContentPartPr/>
            </xdr14:nvContentPartPr>
            <xdr14:nvPr macro=""/>
            <xdr14:xfrm>
              <a:off x="14703340" y="23692009"/>
              <a:ext cx="252585" cy="2330156"/>
            </xdr14:xfrm>
          </xdr14:contentPart>
        </mc:Choice>
        <mc:Fallback xmlns="">
          <xdr:pic>
            <xdr:nvPicPr>
              <xdr:cNvPr id="42" name="Ink 41">
                <a:extLst>
                  <a:ext uri="{FF2B5EF4-FFF2-40B4-BE49-F238E27FC236}">
                    <a16:creationId xmlns:a16="http://schemas.microsoft.com/office/drawing/2014/main" id="{E3F22A1A-E661-CB43-8FCB-1A403B11B94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"/>
              <a:stretch>
                <a:fillRect/>
              </a:stretch>
            </xdr:blipFill>
            <xdr:spPr>
              <a:xfrm>
                <a:off x="14694345" y="23683369"/>
                <a:ext cx="270216" cy="2347795"/>
              </a:xfrm>
              <a:prstGeom prst="rect">
                <a:avLst/>
              </a:prstGeom>
            </xdr:spPr>
          </xdr:pic>
        </mc:Fallback>
      </mc:AlternateContent>
    </xdr:grpSp>
    <xdr:clientData/>
  </xdr:twoCellAnchor>
  <xdr:twoCellAnchor>
    <xdr:from>
      <xdr:col>14</xdr:col>
      <xdr:colOff>0</xdr:colOff>
      <xdr:row>26</xdr:row>
      <xdr:rowOff>0</xdr:rowOff>
    </xdr:from>
    <xdr:to>
      <xdr:col>20</xdr:col>
      <xdr:colOff>190500</xdr:colOff>
      <xdr:row>44</xdr:row>
      <xdr:rowOff>190500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14</xdr:col>
      <xdr:colOff>448906</xdr:colOff>
      <xdr:row>31</xdr:row>
      <xdr:rowOff>139216</xdr:rowOff>
    </xdr:from>
    <xdr:to>
      <xdr:col>16</xdr:col>
      <xdr:colOff>243755</xdr:colOff>
      <xdr:row>43</xdr:row>
      <xdr:rowOff>134706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14:cNvPr>
            <xdr14:cNvContentPartPr/>
          </xdr14:nvContentPartPr>
          <xdr14:nvPr macro=""/>
          <xdr14:xfrm>
            <a:off x="12058200" y="8312040"/>
            <a:ext cx="1453320" cy="24159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489DB15D-68AA-2545-9BCB-FB9F8FE4FFE3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49155" y="8303107"/>
              <a:ext cx="1471048" cy="24334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29866</xdr:colOff>
      <xdr:row>31</xdr:row>
      <xdr:rowOff>141016</xdr:rowOff>
    </xdr:from>
    <xdr:to>
      <xdr:col>14</xdr:col>
      <xdr:colOff>359266</xdr:colOff>
      <xdr:row>32</xdr:row>
      <xdr:rowOff>123991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14:cNvPr>
            <xdr14:cNvContentPartPr/>
          </xdr14:nvContentPartPr>
          <xdr14:nvPr macro=""/>
          <xdr14:xfrm>
            <a:off x="11639160" y="8313840"/>
            <a:ext cx="329400" cy="184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948CCB06-E568-DC4E-9769-56BE218073E0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1630160" y="8304858"/>
              <a:ext cx="347040" cy="20228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06:24.46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 1490 24575,'0'-60'0,"4"22"0,1-39 0,9 32 0,-8 13 0,27-41 0,6-4 0,-12 23 0,9-16 0,3 0 0,8 9 0,-24 31 0,20-28 0,-27 41 0,28-36 0,7-10 0,-4 5 0,-4-5 0,-31 45 0,1-5 0,-2 7 0,-3-4 0,0 3 0,0-3 0,0 4 0,3 0 0,-2 0 0,2 3 0,0-2 0,-2 3 0,2-4 0,-3 4 0,3-3 0,-2 2 0,2-3 0,-3 0 0,0 4 0,0-3 0,-4 3 0,2 0 0,-1 0 0,-1 1 0,2 2 0,-5-2 0,6 4 0,-7-5 0,7 4 0,-6-3 0,5 3 0,-2 0 0,4 1 0,-4-1 0,3 4 0,-3-3 0,3 3 0,0-3 0,1-1 0,-1 4 0,1 1 0,-4 3 0,-1 0 0</inkml:trace>
  <inkml:trace contextRef="#ctx0" brushRef="#br0" timeOffset="1924">24 1528 24575,'0'-11'0,"0"-1"0,0 0 0,0-3 0,0-2 0,0-4 0,0-4 0,0-1 0,0-4 0,0 4 0,0-4 0,0 5 0,0-5 0,0 7 0,0-5 0,0 6 0,0 1 0,0 1 0,0 8 0,0-3 0,0 2 0,0-3 0,0 4 0,0 1 0,0 0 0,0-2 0,0-3 0,0 0 0,0 4 0,0-3 0,0 3 0,0-4 0,0 0 0,0 4 0,0-8 0,0 7 0,0-7 0,-7 4 0,5 0 0,-5 0 0,4 0 0,2 0 0,-3 4 0,4 0 0,0 5 0,0-1 0,0 1 0,0-5 0,0 4 0,0-7 0,0 6 0,0-6 0,0 7 0,0-7 0,0 6 0,0-2 0,0 3 0,0 1 0,0-1 0,0 1 0,0-1 0,0 0 0,0 1 0,0-1 0,0 1 0,0-1 0,0 7 0,0 5 0,0 1 0,0 2 0</inkml:trace>
  <inkml:trace contextRef="#ctx0" brushRef="#br0" timeOffset="3415">92 1570 24575,'0'-8'0,"0"0"0,0 1 0,0-1 0,0 1 0,0-1 0,0 1 0,0-1 0,0-7 0,0 5 0,0-5 0,0 7 0,0 1 0,0-1 0,0 0 0,0 1 0,0-1 0,0-3 0,4 6 0,0-6 0,3 7 0,4-4 0,-3 4 0,7-7 0,-3 10 0,4-10 0,0 10 0,0-6 0,-4 6 0,2-3 0,-2 1 0,0-1 0,3-1 0,-3-2 0,0 3 0,3-4 0,-3 0 0,4 0 0,0 0 0,-4 4 0,3-4 0,-3 4 0,0-1 0,2-2 0,-5 3 0,2 0 0,0-3 0,-3 6 0,3-6 0,-3 3 0,-1-1 0,1-1 0,-1 2 0,0-1 0,-3-1 0,3 5 0,-3-6 0,3 3 0,-2-4 0,1 4 0,-2-3 0,4 3 0,-1 0 0,0-3 0,1 6 0,-1-5 0,0 5 0,1-6 0,-1 6 0,1-5 0,-1 1 0,0 1 0,1-2 0,-1 5 0,-3-6 0,3 6 0,-3-2 0,3 3 0,-3 0 0,0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06:29.66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70 1013 24575,'0'-15'0,"0"1"0,0-6 0,0 4 0,0 0 0,-4 0 0,6 4 0,-1-3 0,3 3 0,3-4 0,1 0 0,5-5 0,0-4 0,-5 6 0,3-5 0,-2 3 0,4 3 0,7-7 0,-6-4 0,12-1 0,-4-6 0,6-5 0,-1 4 0,6-11 0,-5 1 0,6-6 0,-7 14 0,1-7 0,-1 14 0,0-1 0,0 2 0,-6 9 0,0 1 0,-5 9 0,-4-3 0,3 6 0,-7-3 0,3 5 0,0-1 0,-2 0 0,2 4 0,-4-3 0,1 3 0,-4-4 0,2 1 0,-2-1 0,0 1 0,0-1 0,-1 0 0,1 1 0,3 3 0,1 0 0,-4 4 0,-1 0 0</inkml:trace>
  <inkml:trace contextRef="#ctx0" brushRef="#br0" timeOffset="1315">1 957 24575,'0'-8'0,"0"-3"0,0 2 0,0-2 0,0-5 0,0 3 0,0-11 0,0-2 0,0 0 0,0-9 0,0 9 0,0-4 0,0 5 0,0-1 0,0 5 0,0 1 0,0 0 0,0 3 0,0-3 0,0-1 0,0 4 0,0-7 0,0 7 0,0-3 0,0 8 0,0-4 0,0 8 0,0-3 0,0 3 0,0 1 0,0-1 0,0-3 0,0 2 0,0-2 0,0 3 0,0 1 0,0-1 0,0 1 0,0-1 0,3 4 0,-2-3 0,5 6 0,-5 1 0,2 4 0,-3 4 0,0 3 0,0-6 0,0 2 0</inkml:trace>
  <inkml:trace contextRef="#ctx0" brushRef="#br0" timeOffset="2896">84 1012 24575,'0'-16'0,"0"3"0,3-2 0,1 7 0,8-7 0,-4 6 0,7-2 0,-3 7 0,0-3 0,7-2 0,-10 4 0,10-6 0,-11 10 0,3-3 0,1-3 0,0 6 0,0-7 0,2 5 0,-5 2 0,6-3 0,-3-3 0,3 5 0,-3-5 0,3 7 0,-3 0 0,0-3 0,3 2 0,-3-2 0,0 3 0,3-7 0,-3 5 0,0-5 0,3 7 0,-7-4 0,3 4 0,-3-7 0,-1 6 0,0-2 0,1 3 0,-1-4 0,1 3 0,-1-2 0,0 3 0,1-3 0,-1 2 0,0-2 0,1 3 0,-1 0 0,1-4 0,-1 3 0,0-2 0,1 0 0,-1 2 0,1-6 0,-1 6 0,0-2 0,1 3 0,-1 0 0,0 0 0,1 0 0,-1 0 0,-3-3 0,0 2 0,-4-3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06:34.49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185 1121 24575,'0'-15'0,"0"2"0,0-12 0,0 8 0,0-7 0,0 7 0,0-7 0,0 2 0,0 1 0,0 1 0,0 0 0,0 3 0,0-12 0,0 11 0,0-16 0,0 12 0,0-8 0,0 5 0,0 0 0,0 3 0,0-2 0,0 3 0,0-5 0,0 1 0,0 0 0,0-1 0,0 1 0,0-5 0,0 4 0,3 0 0,-2 2 0,6 7 0,-3-4 0,1 5 0,2 0 0,-6-4 0,6-1 0,-6 0 0,6-3 0,-6 2 0,3 1 0,-1-3 0,-2 7 0,6-3 0,-6 4 0,6 0 0,-6 3 0,3 2 0,-4 4 0,3-1 0,-2 0 0,2 1 0,-3-1 0,3 4 0,-2-3 0,2 3 0,1 0 0,0-3 0,0 3 0,3 0 0,-3 1 0,0-1 0,2 3 0,-5-5 0,2 12 0,-3 3 0,0 8 0,-3 8 0,-15-3 0,3-1 0,-3-6 0,11-8 0</inkml:trace>
  <inkml:trace contextRef="#ctx0" brushRef="#br0" timeOffset="1771">166 1062 24575,'0'-11'0,"0"2"0,0-2 0,0 0 0,0-2 0,0-3 0,0 4 0,0-7 0,0 6 0,0-7 0,0 4 0,0-5 0,0 4 0,0-3 0,0 4 0,0-4 0,0 7 0,0-3 0,0 5 0,0 2 0,-4-6 0,3 3 0,-6-4 0,6 0 0,-9 4 0,8-8 0,-5 7 0,0-7 0,5 4 0,-5 0 0,7 3 0,-3 2 0,2 4 0,-2-5 0,-1 4 0,3-7 0,-2 2 0,3 1 0,-4-3 0,4 3 0,-4-4 0,4 0 0,0 4 0,-3-4 0,2 8 0,-6-7 0,6 6 0,-6-6 0,6 3 0,-7-8 0,4 3 0,-4-3 0,0 4 0,3 0 0,-2 0 0,3 0 0,-4 3 0,0 2 0,4 4 0,-2-1 0,5 11 0,-3-1 0,4 9 0,0-4 0,0 1 0,4-1 0,-3 1 0,2-4 0,-3-1 0</inkml:trace>
  <inkml:trace contextRef="#ctx0" brushRef="#br0" timeOffset="3479">280 1121 24575,'0'-16'0,"0"7"0,0-15 0,0 15 0,0-10 0,0 10 0,0-2 0,0 3 0,0 1 0,0-1 0,0 1 0,0-1 0,0 0 0,0-3 0,0 3 0,0-4 0,0 5 0,0-1 0,4-3 0,-3-1 0,5 3 0,-1-5 0,2 8 0,1-2 0,-1-2 0,1 8 0,-1-5 0,1 4 0,-1-1 0,1-4 0,-1 4 0,0-3 0,1 3 0,-4-4 0,2 1 0,-5-1 0,6 1 0,-6-1 0,5 0 0,-2 4 0,0-2 0,3 1 0,-6-2 0,5-1 0,-2 1 0,0-5 0,3 4 0,-6-3 0,5 3 0,-2 0 0,1 1 0,1-1 0,-5 1 0,6-1 0,-3 1 0,0-1 0,2 1 0,-2-1 0,1 0 0,1 4 0,-5-2 0,5 5 0,-5-6 0,6 6 0,-6-6 0,5 7 0,-2-7 0,4 3 0,-4-4 0,2 1 0,-2 2 0,4-1 0,-1 1 0,1-2 0,-1-1 0,0 4 0,1-3 0,-1 7 0,1-7 0,-1 6 0,0-2 0,1 3 0,-1 0 0,-3 0 0,-1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06:41.71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222 1529 24575,'0'-12'0,"0"-3"0,0-2 0,0-4 0,0-9 0,0-6 0,0 8 0,0-20 0,0 23 0,0-25 0,0 18 0,0-13 0,0 12 0,0-6 0,4 8 0,0 4 0,5-2 0,-5 4 0,3 2 0,-2-5 0,3 6 0,0-3 0,0 4 0,0 1 0,0-1 0,0 4 0,0-3 0,0 4 0,0 0 0,0 0 0,0 4 0,-4-3 0,3 3 0,-3-1 0,4-2 0,-4 7 0,3-7 0,-3 6 0,0-6 0,3 7 0,-6-7 0,5 6 0,-5-6 0,6 3 0,-3-4 0,1 0 0,2 0 0,-3 0 0,0 0 0,3 0 0,-6 0 0,6 0 0,-6-4 0,6 3 0,-6-4 0,3 5 0,-1 0 0,-2 0 0,2-4 0,1 3 0,-3-3 0,2 4 0,-3-4 0,4 3 0,-3-3 0,2 4 0,-3 0 0,0 0 0,4 0 0,-3 0 0,5 3 0,-5 2 0,2 0 0,1 2 0,-3-2 0,5 3 0,-5 1 0,5-1 0,-5 1 0,6-1 0,-6 1 0,2-1 0,0 4 0,-2-3 0,2 6 0,-3-2 0</inkml:trace>
  <inkml:trace contextRef="#ctx0" brushRef="#br0" timeOffset="1660">257 1510 24575,'0'-8'0,"0"0"0,0 1 0,0-4 0,0-2 0,0-3 0,0-8 0,0 1 0,0-7 0,0 5 0,0-5 0,0 4 0,0 0 0,0 2 0,0 7 0,0-4 0,-3 1 0,2 3 0,-6 1 0,6 5 0,-2-1 0,-5 4 0,7-4 0,-13 1 0,12 2 0,-5-2 0,7 0 0,-4 2 0,4-2 0,-7 3 0,6 1 0,-6-5 0,3 4 0,-4-7 0,0 2 0,0-3 0,0 0 0,1 0 0,-1 0 0,0 0 0,0 4 0,0-3 0,0 7 0,-3-4 0,2 1 0,-2 2 0,3-6 0,1 6 0,-1-2 0,0 0 0,0-1 0,4-1 0,-3 2 0,6 3 0,-5 4 0,5-2 0,-2 1 0,-1-2 0,3-1 0,-2 1 0,3-1 0,-3 4 0,2-3 0,-2 3 0,3-4 0,0 1 0,0 3 0,0 0 0</inkml:trace>
  <inkml:trace contextRef="#ctx0" brushRef="#br0" timeOffset="4812">310 1481 24575,'0'-7'0,"0"-4"0,0-2 0,0 1 0,0 1 0,0-1 0,0 4 0,0-3 0,0 3 0,0 0 0,0-3 0,0 3 0,0-4 0,0 5 0,0-1 0,3 1 0,2-5 0,2 4 0,1-3 0,-1 3 0,-3-3 0,3 2 0,-3-6 0,3 7 0,1-4 0,-1 5 0,1-1 0,-1 4 0,1-3 0,-1 3 0,4 0 0,-3-3 0,3 3 0,1 0 0,-4-3 0,3 3 0,-4 0 0,1-3 0,-1 6 0,1-6 0,-1 7 0,0-7 0,1 3 0,-1-4 0,0 4 0,1-3 0,-1 3 0,1-4 0,-1 1 0,4-1 0,-3 1 0,-1-1 0,0 4 0,-3-3 0,0 3 0,3 0 0,-3-3 0,3 3 0,0 0 0,-2-3 0,1 6 0,-2-6 0,4 3 0,-1 0 0,0 1 0,-3-1 0,3 4 0,-3-4 0,3 1 0,-2-1 0,1-1 0,-5-1 0,6 5 0,-7-6 0,7 6 0,-3-5 0,3 5 0,-3-6 0,3 3 0,-3-4 0,4 4 0,-4-3 0,2 7 0,-2-7 0,4 6 0,-4-6 0,2 6 0,-2-5 0,4 1 0,-1 1 0,-3-2 0,3 5 0,-3-3 0,0 4 0,-1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10:06.93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 1538 24575,'0'-62'0,"5"23"0,-1-41 0,10 34 0,-8 12 0,27-41 0,6-4 0,-11 23 0,7-17 0,5 1 0,7 10 0,-24 31 0,20-29 0,-27 42 0,29-36 0,6-12 0,-4 6 0,-3-4 0,-32 45 0,0-5 0,0 8 0,-4-5 0,0 3 0,0-2 0,0 3 0,3 1 0,-2-1 0,2 4 0,0-2 0,-2 2 0,2-3 0,-3 3 0,4-2 0,-4 2 0,4-4 0,-5 1 0,1 3 0,0-2 0,-4 2 0,3 0 0,-3 2 0,0-1 0,3 3 0,-6-2 0,5 3 0,-5-4 0,6 3 0,-7-2 0,7 3 0,-3 0 0,4 0 0,-4 1 0,2 2 0,-2-2 0,4 3 0,-1-4 0,1 0 0,-1 4 0,1 1 0,-4 3 0,-1 0 0</inkml:trace>
  <inkml:trace contextRef="#ctx0" brushRef="#br0" timeOffset="1">24 1577 24575,'0'-11'0,"0"-2"0,0 0 0,0-2 0,0-2 0,0-5 0,0-4 0,0 0 0,0-5 0,0 3 0,0-2 0,0 3 0,0-3 0,0 7 0,0-7 0,0 8 0,0 0 0,0 1 0,0 9 0,0-4 0,0 3 0,0-3 0,0 3 0,0 2 0,0-1 0,0-1 0,0-3 0,0-1 0,0 5 0,0-4 0,0 3 0,0-3 0,0-1 0,0 5 0,0-8 0,0 6 0,0-7 0,-7 5 0,6-1 0,-7 1 0,5-1 0,2 1 0,-3 3 0,4 1 0,0 5 0,0-1 0,0 0 0,0-4 0,0 4 0,0-8 0,0 7 0,0-6 0,0 6 0,0-7 0,0 8 0,0-4 0,0 4 0,0 0 0,0 1 0,0-1 0,0 0 0,0 0 0,0 0 0,0 1 0,0-1 0,0 0 0,0 7 0,0 5 0,0 1 0,0 2 0</inkml:trace>
  <inkml:trace contextRef="#ctx0" brushRef="#br0" timeOffset="2">93 1620 24575,'0'-8'0,"0"0"0,0 0 0,0 0 0,0 1 0,0-1 0,0 0 0,0 0 0,0-8 0,0 6 0,0-5 0,0 7 0,0 0 0,0 0 0,0 0 0,0 1 0,0-1 0,0-4 0,3 7 0,1-6 0,4 7 0,3-4 0,-3 3 0,7-6 0,-3 9 0,4-9 0,0 10 0,0-6 0,-4 6 0,3-3 0,-3 1 0,0-2 0,3 1 0,-3-3 0,0 2 0,3-3 0,-3 0 0,4 0 0,-1-1 0,-3 5 0,3-4 0,-3 4 0,1-1 0,1-2 0,-5 2 0,2 1 0,0-3 0,-3 6 0,4-7 0,-5 4 0,0 0 0,1-3 0,-1 2 0,1 1 0,-4-3 0,2 6 0,-1-6 0,2 3 0,-3-4 0,3 4 0,-3-3 0,3 3 0,1-1 0,-1-2 0,0 7 0,1-7 0,-1 6 0,1-6 0,-1 6 0,1-6 0,-1 3 0,0-1 0,1-2 0,-1 7 0,-3-7 0,3 6 0,-3-3 0,3 4 0,-2 0 0,-2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11:10.819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208 1 24575,'0'6'0,"0"0"0,0 12 0,0-6 0,0 6 0,0-2 0,0-3 0,0 5 0,0-3 0,0-2 0,0 0 0,0 1 0,0-1 0,0 0 0,0 58 0,0-47 0,0 43 0,0-60 0,0-1 0,0 0 0,0 0 0,0 0 0,0 0 0,0 3 0,0-2 0,0 6 0,0-7 0,0 7 0,0-3 0,0 0 0,0 2 0,0-5 0,0 5 0,0-2 0,0 0 0,0 2 0,0-2 0,0 0 0,0 0 0,0-1 0,0-2 0,0 2 0,0 0 0,0-2 0,0 5 0,0-2 0,0 0 0,0 3 0,0-3 0,0 3 0,0 0 0,0 3 0,0-2 0,0 3 0,0-4 0,0-3 0,0 2 0,0-5 0,0 2 0,0-3 0,0 0 0,0 0 0,0 0 0,0 1 0,0-1 0,0 0 0,0 0 0,0 0 0,0 0 0,0 3 0,0 1 0,0 3 0,0 1 0,3-1 0,-2 0 0,2 0 0,-3-3 0,3 2 0,-3-5 0,3 5 0,0-5 0,-2 2 0,1-3 0,-2 0 0,3 1 0,-2-1 0,1 0 0,-2 0 0,3 0 0,-2 3 0,1-2 0,-2 6 0,0-7 0,0 7 0,3-6 0,-2 2 0,1 0 0,-2-2 0,0 5 0,0-5 0,0 2 0,0-3 0,0 1 0,0-1 0,0 0 0,0 0 0,0 3 0,0-2 0,0 5 0,0-2 0,0 3 0,0 0 0,0 4 0,0 0 0,0 1 0,0 1 0,0-5 0,0 6 0,0-6 0,0 3 0,0-1 0,0-2 0,0 2 0,0 1 0,-3 0 0,2 1 0,-2 1 0,1-5 0,1 3 0,-2-4 0,3-3 0,-3 2 0,2-5 0,-2 5 0,3-5 0,0 6 0,-2-7 0,1 7 0,-2-6 0,3 2 0,0 0 0,0-2 0,0 5 0,0-5 0,-2 5 0,1-5 0,-2 3 0,3-4 0,0 0 0,0 6 0,0 6 0,0 8 0,0-1 0,0 3 0,0-6 0,0-1 0,0-5 0,0-6 0,0 3 0,0-3 0,0 3 0,0 3 0,0-2 0,0 10 0,0-6 0,0 6 0,0 1 0,0-7 0,0 6 0,0-7 0,0 0 0,0 3 0,0-3 0,0 4 0,0 0 0,0 0 0,0-1 0,0 1 0,0 0 0,0 0 0,0-1 0,0-2 0,0 2 0,0-7 0,0 4 0,0-4 0,0 0 0,0-3 0,0 2 0,0-5 0,0 6 0,0-7 0,0 4 0,0-1 0,0 1 0,0 3 0,0 0 0,0 0 0,0 0 0,0 4 0,0 0 0,0 0 0,0 3 0,0-6 0,0 6 0,0-6 0,0 2 0,0-3 0,0 0 0,0 4 0,0-3 0,0 6 0,0-6 0,0 5 0,0-1 0,0 3 0,0-1 0,0 1 0,0 0 0,0-1 0,0 1 0,0 0 0,3 0 0,-2-1 0,5 1 0,-6 0 0,6 0 0,-5-4 0,2-1 0,0-2 0,-2-5 0,1 1 0,1-4 0,-2 10 0,1 7 0,-2 11 0,0 4 0,0 10 0,0 1 0,0 1 0,0 6 0,0-11 0,0 4 0,0-7 0,-3-4 0,2-7 0,-5 1 0,5-7 0,-5 5 0,5-1 0,-2-4 0,-1 3 0,4-3 0,-4 5 0,4-1 0,-3-4 0,3-1 0,-6-3 0,2-4 0,0-3 0,-1-5 0,1-6 0,-5 0 0,5 10 0,-2 7 0,6 14 0,0 5 0,3-5 0,2 3 0,2-3 0,-3 9 0,3 5 0,-3 1 0,1 0 0,2-2 0,-6-8 0,5 4 0,-5-5 0,3-4 0,-1 3 0,-2-7 0,5 0 0,-5-9 0,2-8 0,-3-1 0,0-2 0,0 4 0,0-1 0,0 3 0,0 1 0,0 8 0,0 9 0,0-7 0,0 14 0,0-15 0,0 11 0,0-7 0,0 8 0,0-8 0,3 3 0,-2-4 0,2-7 0,-3 1 0,0-12 0,0 2 0,0-1 0,0 3 0,0 5 0,0-2 0,0 5 0,0-1 0,0 7 0,0-3 0,0 2 0,0-6 0,3 6 0,-2-3 0,2 0 0,-3 0 0,0-4 0,0-1 0,3-2 0,-3-5 0,3-1 0,-3-5 0,0 2 0,0-2 0,0-4 0,0 0 0</inkml:trace>
  <inkml:trace contextRef="#ctx0" brushRef="#br0" timeOffset="15150">283 5612 24575,'0'-6'0,"0"-4"0,0 3 0,0-5 0,-3 8 0,-1-8 0,1 8 0,-3-5 0,6 2 0,-9-2 0,8 2 0,-11-5 0,11 2 0,-8-3 0,3-1 0,-1-2 0,-3 2 0,3-6 0,-2-3 0,2 4 0,-3-4 0,4 10 0,-1 0 0,1 0 0,-1 0 0,1 0 0,2 3 0,-2 0 0,3 1 0,0 2 0,-3 0 0,5 2 0,-4 2 0,1-4 0,1 1 0,-2 0 0,1-3 0,1 2 0,-3-3 0,6 4 0,-6 0 0,3 0 0,-1 0 0,2-1 0,-1 4 0,2-3 0,-1 3 0,-1-3 0,2 0 0,-4-1 0,4 1 0,-4 0 0,4 0 0,-2-1 0,1 1 0,-2 0 0,-2 3 0,3-3 0,0 3 0,0-1 0,3-1 0,-3-2 0,0 3 0,3-5 0,-3 9 0,3-3 0</inkml:trace>
  <inkml:trace contextRef="#ctx0" brushRef="#br0" timeOffset="17260">297 5616 24575,'0'-9'0,"0"2"0,0-9 0,0 9 0,0-6 0,0 7 0,3-1 0,-2-2 0,4 2 0,-4-5 0,1 5 0,-2-6 0,3 3 0,0 0 0,1-2 0,-1 2 0,-3 0 0,2 3 0,-1 2 0,4 1 0,-4-2 0,4-3 0,-4 2 0,2-2 0,0-1 0,0 3 0,1-5 0,1 2 0,-1 0 0,-1-3 0,2 6 0,-4-5 0,4 5 0,-1-5 0,-1 5 0,3-3 0,-3 4 0,0 0 0,3 0 0,-3 0 0,3 2 0,0-1 0,0 1 0,0 1 0,0-3 0,0 3 0,0-3 0,0-1 0,0 1 0,-3 0 0,3 3 0,-6-3 0,6 3 0,-6-4 0,6 1 0,-6 0 0,6 3 0,-6-3 0,6 3 0,-3-1 0,0-1 0,3 4 0,-6-5 0,6 3 0,-3-3 0,0 0 0,3 2 0,-6-1 0,6 4 0,-6-5 0,6 6 0,-6-6 0,6 3 0,-6-3 0,6 2 0,-3 1 0,0 3 0,0 0 0</inkml:trace>
  <inkml:trace contextRef="#ctx0" brushRef="#br0" timeOffset="20318">317 5876 24575,'-6'3'0,"2"6"0,-9-8 0,3 11 0,1-8 0,-4 2 0,4 0 0,-1-2 0,-2 2 0,2 0 0,0 1 0,-2-1 0,5 0 0,-2 1 0,3-1 0,0 0 0,0 0 0,-3 0 0,2-2 0,-2-1 0,3-1 0,0-1 0,-1 2 0,1 0 0,0-3 0,0 6 0,0-3 0,0 0 0,0 0 0,0 0 0,0-2 0,0 1 0,2 1 0,-1-2 0,2 4 0,-3-4 0,2 4 0,-1-4 0,1 4 0,-2-1 0,0 2 0,0-3 0,0 0 0,3 0 0,-3-3 0,6 6 0,-3-3 0,3 3 0,0 1 0,0-1 0,3-3 0,0 0 0,3-3 0,3 0 0,-2 2 0,2-1 0,0 2 0,-2-3 0,5 0 0,-6 0 0,3 0 0,-3 0 0,3 0 0,-2 0 0,2 0 0,-3 0 0,0 0 0,0 0 0,0 0 0,0 0 0,0 0 0,0 0 0,0 0 0,-3 3 0,3-3 0,-3 3 0,3-3 0,0 0 0,0 0 0,0 3 0,0-3 0,0 3 0,0-3 0,0 0 0,0 3 0,0-2 0,0 1 0,0 1 0,0-2 0,0 4 0,0-4 0,0 2 0,-3-1 0,3-1 0,-3 4 0,3-4 0,0 4 0,0-4 0,0 2 0,0 0 0,0 0 0,0 0 0,0 0 0,0 0 0,0-2 0,0 1 0,-3 1 0,3-2 0,-3 1 0,3 1 0,0-2 0,0 1 0,0 1 0,0 1 0,-3-1 0,0 0 0</inkml:trace>
  <inkml:trace contextRef="#ctx0" brushRef="#br0" timeOffset="22178">349 5903 24575,'0'2'0,"0"-1"0,0 9 0,0-4 0,0 0 0,0 0 0,0 0 0,0 3 0,0-2 0,0 2 0,0 1 0,0 0 0,-6 0 0,5 2 0,-5-5 0,6 5 0,-6-4 0,5 4 0,-5-5 0,6 2 0,0 0 0,-3-2 0,3 2 0,-3 1 0,0-3 0,3 2 0,-3-3 0,0 0 0,3 0 0,-3 0 0,0 3 0,2-2 0,-4 3 0,4-1 0,-4-2 0,1 2 0,1 0 0,-2-2 0,1 2 0,1-3 0,0 0 0,0 1 0,3-1 0,-3 0 0,0 0 0,3 0 0,-6 0 0,6 0 0,-3 0 0,0 1 0,2-1 0,-1 0 0,-1 3 0,2-2 0,-4 2 0,4-3 0,-4 0 0,4 0 0,-5 1 0,6-1 0,-6 0 0,6 0 0,-6 0 0,3 0 0,0 0 0,-3 0 0,5 1 0,-1-1 0,2 0 0,-3-3 0,2 3 0,-1-3 0,2 3 0,-3-2 0,0-2 0,-1-2 0,2 0 0</inkml:trace>
  <inkml:trace contextRef="#ctx0" brushRef="#br0" timeOffset="25622">468 6069 24575,'9'0'0,"-2"0"0,2 0 0,0 0 0,-2 0 0,2 0 0,-3 0 0,0 0 0,0 0 0,0 0 0,0 0 0,0 0 0,0 0 0,0 3 0,0 0 0,0 3 0,0 0 0,-3 0 0,3-2 0,-6 1 0,3-1 0,-1-1 0,-1 2 0,2-1 0,-3 2 0,0 0 0,0 0 0,0 0 0,0 0 0,0 1 0,0-1 0,0 0 0,0 0 0,0 0 0,0 0 0,0 0 0,0 0 0,0 1 0,0-1 0,0 0 0,0 0 0,0 0 0,0 0 0,0 0 0,0 0 0,-3-2 0,2 1 0,-4-1 0,2 2 0,-3 0 0,0 0 0,2 0 0,-1-2 0,1 1 0,1-2 0,-2 4 0,1-1 0,-2 0 0,0 0 0,0 0 0,0 0 0,3 0 0,-3 0 0,3 1 0,-3-1 0,0 0 0,0-3 0,-1 3 0,1-6 0,3 6 0,-5-6 0,3 6 0,-4-5 0,3 4 0,0-4 0,0 4 0,0-4 0,0 4 0,0-4 0,0 2 0,0-3 0,0 0 0,0 2 0,0-1 0,0 2 0,-1-1 0,1-1 0,0 2 0,0-3 0,3 3 0,-3-3 0,3 3 0,0 0 0,3-3 0,3 3 0,3-3 0,0 0 0,3 0 0,-2 0 0,2 0 0,-3 0 0,0 0 0,0 0 0,0 0 0,3 0 0,-3 0 0,4 0 0,-5 0 0,1 0 0,0 0 0,0 0 0,0 0 0,0 0 0,0 0 0,0 0 0,0 0 0,0 0 0,0 0 0,0 0 0,0 0 0,0 0 0,0 0 0,0 0 0,0 0 0,0 0 0,0 0 0,0 0 0,0 0 0,0 0 0,0 3 0,0-2 0,0 1 0,0-2 0,-2 3 0,1-2 0,-2 1 0,3-2 0,0 0 0,0 3 0,0-2 0,0 1 0,0-2 0,0 3 0,0-2 0,0 2 0,-2-1 0,1-1 0,-2 2 0,3-1 0,0-1 0,0 5 0,0-6 0,-2 3 0,-2-3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12:38.09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2920 292 24575,'0'13'0,"0"0"0,0 3 0,0 22 0,0-18 0,0 13 0,0-27 0,0 5 0,0 8 0,0-5 0,0 3 0,0-11 0,0 0 0,0 0 0,0 1 0,0-1 0,0 0 0,0 0 0,0 0 0,0 0 0,0 0 0,0 0 0,0 1 0,0-1 0,3 0 0,0 0 0,0 0 0,0 0 0,-3 0 0,0 0 0,3 1 0,-3 2 0,3-2 0,-3 5 0,0-5 0,0 5 0,0-5 0,3 2 0,-3 0 0,3-2 0,-3 6 0,0-3 0,0 3 0,0-3 0,0 2 0,3 1 0,-2 1 0,2 3 0,-3-1 0,0-2 0,0 6 0,0-3 0,3 1 0,-3 5 0,3-4 0,-3 5 0,0-3 0,3 0 0,-2-1 0,2 5 0,-3-4 0,0 8 0,0-4 0,0 0 0,0 3 0,0-6 0,0 6 0,0-6 0,0 2 0,0 1 0,0-4 0,0 4 0,0-4 0,0-1 0,0 5 0,0-4 0,0 8 0,0-8 0,0 4 0,0-5 0,0-2 0,0 2 0,0-6 0,0 6 0,0-7 0,0 1 0,0-2 0,0-2 0,0 3 0,0 0 0,0 4 0,0-6 0,0 4 0,0-5 0,0 0 0,0 3 0,0-7 0,0 4 0,0-4 0,-3 0 0,3 0 0,-3 0 0,3 0 0,0 0 0,-3 0 0,3 4 0,-3-3 0,0 5 0,2-5 0,-5 5 0,6-2 0,-6 3 0,5 0 0,-5 4 0,3-3 0,-1-1 0,-2-4 0,5-3 0,-4-2 0,4 1 0,-1 9 0,2 5 0,0 10 0,0-4 0,0 0 0,0-1 0,0 5 0,0 6 0,0-1 0,0 3 0,0-3 0,0 0 0,0-1 0,0 1 0,0-4 0,0-1 0,0-1 0,0-6 0,0 6 0,0-6 0,0 6 0,3-7 0,-3 8 0,6-8 0,-5 7 0,5-2 0,-5-1 0,2 0 0,-3-5 0,3 1 0,-2 0 0,2-4 0,-3 3 0,0-6 0,3 2 0,-2 1 0,2 0 0,-1 1 0,-1 5 0,2-5 0,-3 7 0,3-1 0,-2-2 0,2-1 0,-3-4 0,0-4 0,0 0 0,0-3 0,0-1 0,0-3 0,0 3 0,0 1 0,0 3 0,0-3 0,0 3 0,3-3 0,-2-1 0,2 1 0,-3-10 0,0 8 0,0 4 0,0 10 0,0 7 0,0 4 0,0 1 0,0 4 0,0 1 0,-4-5 0,4-1 0,-4-4 0,4-4 0,0 0 0,-3 3 0,2-5 0,-2 13 0,3-5 0,0 3 0,0 3 0,-4-3 0,4-3 0,-4-3 0,4-11 0,0-3 0,-3-8 0,-3-3 0,2 14 0,-2 0 0,6 20 0,0-2 0,0 7 0,0 2 0,0 19 0,0-11 0,0 21 0,0-18 0,0 9 0,0-5 0,0-10 0,0-1 0,0-10 0,0-11 0,0-3 0,0-14 0,0-1 0,-3-5 0,3 1 0,-3 9 0,3 9 0,0 15 0,0 11 0,0 0 0,0 13 0,0 4 0,0 5 0,0-9 0,0 4 0,0-15 0,0 8 0,0-11 0,0-5 0,0-9 0,0-4 0,0-9 0,0-8 0,0-4 0,0 4 0,0 13 0,0 6 0,0 6 0,0 0 0,0-8 0,0 3 0,0-4 0,0 0 0,0 4 0,0 1 0,0 0 0,0-4 0,0-12 0,0-6 0,0 5 0,0 2 0,0 6 0,0 3 0,0-3 0,3 1 0,1 6 0,3-2 0,0 1 0,1 1 0,-2-10 0,1 2 0,-3-3 0,2-4 0,-5 3 0,5-6 0,-6 3 0,3-4 0,-3-3 0,3 2 0,-2-5 0,2 2 0,-3-3 0,0 3 0,0 1 0,0 7 0,0-3 0,0 2 0,0-3 0,0-3 0,0 0 0,0-4 0,0 0 0,0 0 0,0 0 0,0 0 0,0 0 0,0 0 0,0 1 0,0-1 0,0 0 0,0 0 0,0 0 0,0 0 0,0 0 0,0 0 0,0 1 0,0-1 0,0 0 0,0 0 0,0 0 0,0 0 0,0 0 0,0 0 0,0 1 0,0-1 0,0 0 0,0 0 0,0 0 0,0 0 0,0 0 0,0 0 0,0 1 0,0-1 0,0 0 0,0-6 0,0 2 0,0-4 0</inkml:trace>
  <inkml:trace contextRef="#ctx0" brushRef="#br0" timeOffset="2232">2932 304 24575,'0'7'0,"0"-1"0,0 0 0,0 0 0,0 0 0,0 0 0,0 3 0,0 1 0,0 0 0,0 3 0,0-6 0,0 5 0,0-5 0,0 2 0,-2-3 0,1 0 0,-2 0 0,3 0 0,0 1 0,-2-1 0,1 0 0,-8 0 0,8 3 0,-5-1 0,3 1 0,0-3 0,0 0 0,-3 0 0,5 0 0,-4 0 0,4 0 0,-4 1 0,4-1 0,-4 0 0,1 3 0,1-2 0,-3 2 0,5-3 0,-4 0 0,4 1 0,-4-1 0,4 0 0,-4 0 0,4 0 0,-4 0 0,1 0 0,-2 0 0,0 3 0,2 1 0,-1 0 0,2-1 0,-1-3 0,-1 0 0,1 0 0,1 0 0,0 4 0,1-3 0,1 2 0,-5-3 0,6 0 0,-3 0 0,3 0 0,-3-2 0,3 1 0,-3-1 0,3 2 0,0 0 0,-3-3 0,2 3 0,-1-3 0,2 3 0,0 0 0,0 0 0,-3 1 0,2-4 0,-1 0 0</inkml:trace>
  <inkml:trace contextRef="#ctx0" brushRef="#br0" timeOffset="4342">2966 387 24575,'0'6'0,"0"0"0,0 0 0,0 1 0,0-1 0,0 3 0,0-2 0,0 2 0,0 0 0,0 1 0,0 3 0,0-3 0,0-1 0,0-2 0,0 2 0,0-2 0,0 5 0,0-2 0,0 3 0,0 0 0,0 0 0,0 0 0,0 0 0,0 0 0,0-3 0,0 3 0,0-3 0,0 0 0,3-1 0,-3 0 0,3-2 0,-3 2 0,3-3 0,-2 0 0,1 0 0,1 1 0,-2-1 0,1 0 0,1 0 0,-2 0 0,1 0 0,1-2 0,-2 1 0,1-2 0,-2 4 0,3-4 0,-2 2 0,1-1 0,1 2 0,-2 0 0,4 0 0,-4 0 0,4 0 0,-4 1 0,4-4 0,-4 2 0,2-1 0,-1-1 0,-1 3 0,4-3 0,-1 3 0,-1 0 0,2-2 0,-4 1 0,4-4 0,-4 4 0,5-1 0,-3 2 0,3 0 0,0-3 0,0 3 0,0-6 0,-3 6 0,3-5 0,-6 4 0,6-4 0,-5 4 0,4-4 0,-4 4 0,4-4 0,-2 4 0,3-4 0,-2 5 0,1-6 0,-4 6 0,1-6 0,-2 3 0</inkml:trace>
  <inkml:trace contextRef="#ctx0" brushRef="#br0" timeOffset="7970">3378 5708 24575,'-7'0'0,"1"0"0,-3 0 0,2 0 0,-2 0 0,3 0 0,2 3 0,-4 1 0,4-1 0,-3 3 0,2-3 0,2 3 0,-7 1 0,6-1 0,-4 0 0,4 0 0,-2 0 0,0 1 0,0-1 0,0-3 0,0 3 0,-1-3 0,1 3 0,0 0 0,3 0 0,-3 0 0,3 1 0,-3-1 0,0 0 0,0 0 0,-1 0 0,1 0 0,0-2 0,0 1 0,0-2 0,0 4 0,0-1 0,0-3 0,2 3 0,-1-6 0,1 6 0,1-3 0,-3 0 0,6 3 0,-6-3 0,6 3 0,-6-2 0,5 1 0,-1-1 0,-1-1 0,2 3 0,-4-3 0,4 3 0,-4-3 0,4 3 0,-2-3 0,1 1 0,1 1 0,-4-1 0,4 2 0,-2 0 0,3 0 0,0 0 0,3-3 0,0 0 0,3-3 0,0 0 0,0 0 0,0 0 0,0 0 0,0 0 0,1 0 0,2 0 0,-3 0 0,7 0 0,-7 0 0,3 0 0,1 0 0,-4 3 0,3-2 0,1 1 0,-4 1 0,7-2 0,-7 4 0,6-4 0,-2 4 0,0-4 0,2 5 0,-2-5 0,3 5 0,-3-6 0,2 6 0,-2-2 0,0-1 0,2 0 0,-2 0 0,0-2 0,2 5 0,-5-6 0,2 6 0,0-5 0,-2 4 0,5-4 0,-5 4 0,2-4 0,-3 4 0,0-4 0,0 2 0,0 0 0,0-3 0,0 3 0,0 0 0,0-3 0,0 3 0,0-3 0,0 3 0,0-3 0,0 6 0,0-5 0,0 1 0,0-2 0,1 3 0,-1-2 0,0 1 0,-3-2 0,0 0 0</inkml:trace>
  <inkml:trace contextRef="#ctx0" brushRef="#br0" timeOffset="9612">3438 5773 24575,'0'6'0,"0"6"0,0-4 0,0 8 0,0-9 0,-3 8 0,2-7 0,-2 8 0,3-6 0,-3 3 0,3 0 0,-3 0 0,-3-3 0,5 2 0,-5-1 0,6-1 0,-3-1 0,2-3 0,-4 0 0,4 0 0,-1 0 0,2 0 0,0 1 0,-3-1 0,2 0 0,-2 0 0,1 0 0,1 0 0,-2 0 0,1 0 0,1 1 0,-2-1 0,0 0 0,0 0 0,0 0 0,-3 0 0,5 0 0,-1 0 0,-1 1 0,2-1 0,-4 0 0,4 0 0,-1 0 0,-1 0 0,2 0 0,-4 0 0,4 1 0,-2-1 0,1-3 0,1 3 0,-2-3 0,0 0 0,3 3 0,-6-3 0,6 3 0,-6 0 0,5 1 0,-1-1 0,-1-3 0,0 0 0,-1-3 0,1 0 0</inkml:trace>
  <inkml:trace contextRef="#ctx0" brushRef="#br0" timeOffset="12438">3758 5915 24575,'6'0'0,"0"0"0,0 0 0,3 0 0,1 0 0,-1 0 0,4 0 0,-4 0 0,1 0 0,2 0 0,-5 0 0,5 0 0,-5 0 0,2 0 0,-3 0 0,0 0 0,1 0 0,-1 0 0,0 0 0,0 3 0,0 0 0,0 4 0,0-1 0,0 0 0,0 0 0,0 0 0,0 0 0,0 0 0,0-2 0,-3 1 0,3-1 0,-3 2 0,1 0 0,1 0 0,-4 0 0,4 0 0,-2 0 0,1 0 0,1 1 0,-4-1 0,1 0 0,-2 0 0,0 0 0,0 0 0,0 0 0,0 0 0,0 1 0,0-1 0,0 0 0,-2-3 0,-2 3 0,1-3 0,-3 3 0,3 0 0,-3-2 0,3 1 0,-3-4 0,3 4 0,-3-4 0,-1 4 0,1-1 0,0-1 0,3 3 0,-3-6 0,6 6 0,-6-6 0,3 3 0,-1 0 0,-1-2 0,1 4 0,-2-4 0,0 1 0,0 1 0,0-2 0,0 2 0,0-3 0,0 0 0,-1 0 0,-2 0 0,2 2 0,-2-1 0,3 2 0,0-3 0,-3 0 0,2 2 0,-2-1 0,3 2 0,-1-3 0,1 2 0,0-1 0,0 2 0,0-3 0,0 3 0,0-3 0,-4 3 0,4-3 0,-7 0 0,6 0 0,-5 3 0,5-2 0,-5 2 0,5-3 0,-2 0 0,3 2 0,0-1 0,0 2 0,0-3 0,-1 0 0,1 0 0,0 0 0,0 2 0,0-1 0,0 2 0,0-3 0,-1 3 0,1-3 0,0 3 0,0-3 0,0 0 0,3 3 0,-3-3 0,3 6 0,-1-3 0,2 3 0,4 0 0,2-2 0,2-1 0,3-3 0,1 0 0,-1 0 0,1 2 0,-1-1 0,-2 2 0,2-3 0,0 3 0,-2-3 0,2 3 0,0 0 0,-2-2 0,2 2 0,-3-3 0,0 0 0,0 2 0,0-1 0,0 2 0,0 0 0,0-3 0,0 3 0,0 0 0,0-3 0,0 6 0,0-5 0,0 1 0,0 1 0,0-2 0,0 4 0,0-2 0,0 1 0,1 1 0,-4-1 0,2-1 0,-4 3 0,4-6 0,-4 6 0,4-3 0,-4 3 0,4-2 0,-4 1 0,4-2 0,-1 4 0,2-1 0,-3 0 0,0 0 0,0 0 0,-3 0 0,3 0 0,0-2 0,-3-2 0,3-2 0</inkml:trace>
  <inkml:trace contextRef="#ctx0" brushRef="#br0" timeOffset="15092">2925 6589 24575,'6'3'0,"-3"1"0,0 2 0,0 0 0,0-3 0,1 3 0,1-3 0,-2 3 0,1 0 0,1 0 0,-2 1 0,1-1 0,1 0 0,-2 0 0,4 0 0,-1 0 0,-3 0 0,2-2 0,-4 1 0,2-1 0,-1-1 0,-1 2 0,4-1 0,-4 2 0,4 0 0,-4 0 0,5 0 0,-3 0 0,0 1 0,3-4 0,-6 2 0,6-4 0,-3 5 0,3-6 0,-3 3 0,0-3 0</inkml:trace>
  <inkml:trace contextRef="#ctx0" brushRef="#br0" timeOffset="19000">3068 6614 24575,'-10'3'0,"3"0"0,2 1 0,1 1 0,-2-1 0,3 2 0,-3-3 0,6 3 0,-6-6 0,6 6 0,-6-6 0,3 6 0,-3-3 0,0 3 0,-1 0 0,1-2 0,0 1 0,0-1 0,0-1 0,0 3 0,0-6 0,0 3 0,-1 0 0,1-3 0,0 3 0,0 0 0,0-2 0,0 4 0,0-4 0,-1 4 0,1-4 0,0 4 0,0-4 0,0 4 0,0-4 0,0 2 0,2-1 0,-1-1 0,1 5 0,-2-6 0,3 3 0,0-3 0</inkml:trace>
  <inkml:trace contextRef="#ctx0" brushRef="#br0" timeOffset="24077">2822 170 24575,'0'0'0</inkml:trace>
  <inkml:trace contextRef="#ctx0" brushRef="#br0" timeOffset="28236">2672 0 24575,'0'7'0,"0"2"0,0-2 0,0 2 0,0-3 0,0 0 0,0 0 0,0 0 0,0 1 0,0-1 0,0 0 0,0 0 0,0 0 0,0 0 0,2-2 0,-1 1 0,5-4 0,-6 4 0,6-4 0,-6 4 0,6-1 0,-3-1 0,3 2 0,0-4 0,0 2 0,0 0 0,0-3 0,0 3 0,0 0 0,-2 0 0,1 1 0,-4 1 0,4-4 0,-2 4 0,4-2 0,-1 1 0,-3 1 0,2-4 0,-1 4 0,2-4 0,0 5 0,0-6 0,0 6 0,0-6 0,0 3 0,0 0 0,0-2 0,-3 4 0,3-4 0,-3 4 0,3-4 0,-2 4 0,1-4 0,-4 4 0,4-4 0,-4 4 0,4-4 0,-2 5 0,3-3 0,0 3 0,1-2 0,-4 1 0,2-4 0,-1 4 0,2-4 0,0 1 0,-3 1 0,2-2 0,-1 2 0,-1-3 0,0 0 0</inkml:trace>
  <inkml:trace contextRef="#ctx0" brushRef="#br0" timeOffset="30344">2982 73 24575,'-6'0'0,"-4"0"0,3 0 0,-2 0 0,3 3 0,0 0 0,0 4 0,0-1 0,0-3 0,-1 3 0,1-3 0,0 3 0,0 0 0,0-2 0,3 1 0,-3-2 0,3 1 0,-3 1 0,-1-4 0,1 2 0,0-1 0,0-1 0,0 2 0,0 0 0,0 0 0,0 0 0,-1 3 0,1-6 0,3 6 0,-3-5 0,3 4 0,-3-2 0,0 1 0,2 1 0,-1-4 0,2 4 0,-4-4 0,1 2 0,3 0 0,-3-3 0,3 3 0,-3-3 0,0 0 0,0 0 0,2 3 0,-1-3 0,1 3 0,1 0 0,-3-3 0,3 6 0,-3-5 0,3 4 0,-3-4 0,5 4 0,-4-4 0,4 4 0,-4-4 0,4 4 0,-4-1 0,1-1 0,1 3 0,-3-6 0,6 6 0,-6-6 0,6 6 0,-6-5 0,5 4 0,-4-4 0,2 1 0,-1 1 0,2-2 0,2 2 0</inkml:trace>
  <inkml:trace contextRef="#ctx0" brushRef="#br0" timeOffset="36641">2551 186 24575,'-7'0'0,"1"0"0,-3 0 0,-1 0 0,0 0 0,1 0 0,-4 0 0,6 0 0,-12 0 0,11 0 0,-8 0 0,3 0 0,2 0 0,-4 0 0,5 0 0,-3 0 0,0 0 0,0 0 0,0 0 0,3 0 0,-2 0 0,2 0 0,-3 0 0,0 0 0,0 0 0,0 0 0,3 0 0,-2 0 0,2 0 0,-3-6 0,3 4 0,-2-3 0,2 5 0,-3 0 0,0-3 0,0-1 0,3 0 0,-2-2 0,2 6 0,-3-3 0,3 0 0,-3 2 0,4-4 0,-1 4 0,-3-5 0,3 5 0,-3-5 0,0 6 0,0-3 0,0 0 0,0 2 0,0-5 0,1 5 0,-5-2 0,3 1 0,-5 1 0,5-5 0,-6 2 0,3 0 0,-4-2 0,4 5 0,-3-2 0,3 0 0,-3 2 0,-5-2 0,4 3 0,-7 0 0,3 0 0,-8 0 0,3 0 0,-7 0 0,8 0 0,-4 0 0,4 0 0,0 0 0,0 0 0,4 0 0,1 0 0,3 0 0,1 0 0,3 0 0,-3 0 0,6 0 0,-2 0 0,3 0 0,3 0 0,-2 0 0,5 0 0,-5 0 0,2 0 0,-3 0 0,0 0 0,3 0 0,-3 0 0,4 0 0,-1 3 0,-3-2 0,6 4 0,-5-4 0,5 4 0,-5-4 0,5 5 0,-5-6 0,5 6 0,-5-6 0,5 6 0,-2-6 0,0 3 0,2 0 0,-2-2 0,-1 1 0,4-2 0,-4 0 0,4 3 0,-3-2 0,2 1 0,-5-2 0,5 3 0,-5-2 0,5 4 0,-5-4 0,2 5 0,-3-6 0,3 6 0,-2-5 0,2 1 0,-3-2 0,3 3 0,-2-2 0,5 1 0,-6-2 0,7 0 0,-4 0 0,4 0 0,0 0 0,0 0 0,0 0 0,0 0 0,0 0 0,-1 0 0,1 0 0,0 0 0,0 0 0,0 0 0,0 0 0,0 0 0,0 3 0,-4-2 0,0 2 0,-3-3 0,0 2 0,-3-1 0,2 5 0,-5-5 0,5 5 0,-6-3 0,6 1 0,-2 2 0,3-2 0,0-1 0,0 3 0,3-5 0,1 2 0,-4-3 0,2 0 0,-5 0 0,6 0 0,-2 0 0,5 0 0,-2 0 0,0 0 0,2 0 0,-2 0 0,2 0 0,1 0 0,0 0 0,-3 0 0,2 0 0,-5 0 0,2 3 0,-3-3 0,0 3 0,0 0 0,0-2 0,0 2 0,0-3 0,0 3 0,0-3 0,3 3 0,1-3 0,3 0 0,0 0 0,0 0 0,-1 3 0,1-2 0,0 1 0,0-2 0,0 0 0,0 0 0,0 0 0,-1 0 0,4 3 0,-5-2 0,3 1 0,-4-2 0,6-2 0,-3 1 0,3-2 0,-3 3 0,2 3 0,2-2 0,2 1 0</inkml:trace>
  <inkml:trace contextRef="#ctx0" brushRef="#br0" timeOffset="39150">434 41 24575,'-9'0'0,"-1"0"0,-3 0 0,3 0 0,-2 0 0,2 0 0,-3 0 0,0 3 0,3 0 0,1 1 0,0 2 0,2-3 0,-5 1 0,5 1 0,-2-4 0,0 4 0,2-1 0,-3-1 0,4 3 0,0-6 0,0 6 0,-3-3 0,2 1 0,-5 2 0,5-6 0,-5 6 0,5-5 0,-5 5 0,5-3 0,-3 1 0,4 1 0,-3-1 0,2-1 0,-2 3 0,3-3 0,0 1 0,0 1 0,2-1 0,-1-1 0,1 2 0,-2-1 0,0 2 0,3 0 0,-3-3 0,6 3 0,-6-5 0,3 4 0,-3-4 0,0 4 0,-1-4 0,4 4 0,-2-4 0,1 2 0,-2-1 0,0-1 0,0 2 0,2 0 0,2 0 0,-1 0 0,2 3 0,-2-3 0,3 3 0,0 0 0,0 1 0,0-1 0,3 0 0,1 0 0,2-3 0,0 3 0,0-3 0,0 1 0,0 1 0,3-4 0,-2 1 0,5-2 0,-5 0 0,5 3 0,-5-2 0,5 2 0,-5-3 0,5 3 0,-5-2 0,5 2 0,-6-3 0,4 0 0,-1 0 0,-3 0 0,4 0 0,-4 0 0,3 0 0,-2 0 0,2 2 0,-3-1 0,0 2 0,0-1 0,0-1 0,0 2 0,0-3 0,0 2 0,0-1 0,0 2 0,0 0 0,0-3 0,0 3 0,-2 0 0,1-3 0,-2 6 0,3-5 0,0 1 0,-2 1 0,1-2 0,-4 4 0,4-4 0,-4 4 0,4-4 0,-4 4 0,4-1 0,-1-1 0,-1 3 0,2-6 0,-4 6 0,4-6 0,-4 6 0,4-5 0,-4 4 0,5-4 0,-6 4 0,6-4 0,-3 2 0,3-3 0,-5 0 0,1-3 0,-5 2 0,3-2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4-19T07:13:20.197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22 0 24575,'6'0'0,"0"0"0,0 0 0,0 0 0,0 0 0,0 0 0,0 0 0,0 0 0,1 0 0,-1 0 0,0 0 0,0 0 0,0 0 0,0 0 0,0 0 0,0 0 0,0 0 0,0 0 0,0 0 0,0 0 0,1 0 0,-1 0 0,0 0 0,0 0 0,0 0 0,0 0 0,0 0 0,0 0 0,0 0 0,0 0 0,-2 3 0,1 0 0,-2 3 0,3-2 0,1-2 0,-1-2 0,-3 3 0,0 0 0,-6 1 0,2 1 0,-4-1 0,1-1 0,-2 2 0,3-1 0,-3 2 0,3-3 0,-1 3 0,-1-6 0,2 6 0,-4-6 0,4 6 0,-2-6 0,1 6 0,1-3 0,-3 1 0,3 1 0,-1-2 0,-1 1 0,1 1 0,-2-1 0,0 2 0,3 0 0,-3 0 0,3 0 0,-3 0 0,0 0 0,-1 0 0,1 0 0,0-2 0,0 1 0,2-2 0,-1 1 0,2 1 0,-4-1 0,1 2 0,0 0 0,0-3 0,2 2 0,-1-4 0,4 5 0,-4-6 0,4 6 0,-4-6 0,4 6 0,-2-3 0,1 0 0,1 3 0,-5-5 0,6 4 0,-6-2 0,3 1 0,-1 1 0,-1-4 0,4 1 0,-2-2 0</inkml:trace>
  <inkml:trace contextRef="#ctx0" brushRef="#br0" timeOffset="3478">390 81 24575,'-9'0'0,"2"0"0,-5 0 0,5 0 0,-3 0 0,4 0 0,0 0 0,0 0 0,0 0 0,0 2 0,-1-1 0,1 2 0,0-3 0,0 0 0,0 2 0,0-1 0,-1 2 0,1-3 0,0 0 0,0 0 0,0 2 0,0-1 0,-1 4 0,1-1 0,3 2 0,0 0 0,0 0 0,3 0 0,-3 0 0,3 0 0,0 0 0,0 1 0,0-1 0,0 0 0,-3 0 0,3 0 0,-3 0 0,0 0 0,2 0 0,-1 0 0,-1-2 0,2 1 0,-1-2 0,-1 1 0,2 1 0,-2-2 0,3 4 0,-2-4 0,1 2 0,-2-1 0,3 2 0,-3 0 0,3 0 0,-3 0 0,3 0 0,0 0 0,0 0 0,0 0 0,0 0 0,0 0 0,0 1 0,0-1 0,0 0 0,0 0 0,0 0 0,3-3 0,0 0 0,0 0 0,3-3 0,-3 3 0,3-3 0,0 0 0,1 0 0,-1 0 0,0 0 0,0 0 0,0 0 0,0 0 0,0 0 0,0 0 0,0 0 0,0 0 0,0 0 0,0 0 0,0 0 0,1 0 0,-1 0 0,-3-3 0,0 0 0,-1-1 0,-1-1 0,4 4 0,-4-4 0,2 1 0,0-2 0,-3 0 0,6 0 0,-6 0 0,3 0 0,0 2 0,-3-1 0,3 1 0,-3-2 0,0 0 0,0 0 0,0 0 0,0-1 0,0 1 0,0 0 0,0 0 0,-3 3 0,0 0 0,-3 3 0,0 0 0,-1 0 0,1-3 0,0 2 0,0-1 0,0-1 0,0 2 0,-1-1 0,1 2 0,0 0 0,0 0 0,3 0 0,0 0 0</inkml:trace>
  <inkml:trace contextRef="#ctx0" brushRef="#br0" timeOffset="6383">613 163 24575,'-6'0'0,"0"0"0,0 0 0,0 0 0,-1 0 0,1 0 0,0 0 0,0 0 0,0 0 0,0 0 0,0 0 0,-1 0 0,1 0 0,0 0 0,0 0 0,0 0 0,0 3 0,2 0 0,-1 1 0,4 1 0,-2-2 0,0 1 0,3 1 0,-6-1 0,3 2 0,-1 0 0,-1 0 0,4 0 0,-4-3 0,4 3 0,-2-3 0,1 0 0,1 3 0,-2-3 0,3 3 0,0 0 0,0 1 0,-2-4 0,1 2 0,-2-1 0,3 2 0,0 0 0,-3 0 0,3 0 0,-3 0 0,3 0 0,0 0 0,0 0 0,0 0 0,0 0 0,0 1 0,0-1 0,0 0 0,0 0 0,0 0 0,0 0 0,0 0 0,0 0 0,0 0 0,3-2 0,-3 1 0,6-4 0,-6 4 0,6-4 0,-6 4 0,6-4 0,-3 1 0,3-2 0,0 0 0,0 0 0,1 0 0,-1 0 0,0 0 0,0 0 0,0 0 0,0 0 0,0 0 0,0 0 0,0 0 0,0 0 0,0 0 0,0 0 0,1 0 0,-4-2 0,2 1 0,-1-4 0,2 4 0,-3-5 0,3 3 0,-3-3 0,3 0 0,-3 0 0,3-1 0,-3 1 0,1 0 0,1 3 0,-4-3 0,1 3 0,1-3 0,-2-1 0,4 1 0,-4 0 0,1 0 0,1 0 0,-2 0 0,2-1 0,-3 1 0,0 0 0,0 0 0,0 0 0,0 0 0,0-1 0,0 1 0,0 0 0,0 0 0,0 0 0,0 0 0,0 0 0,0-1 0,0 1 0,0 0 0,-3 3 0,2-3 0,-4 5 0,1-1 0,-2-1 0,0 2 0,0-4 0,0 4 0,-1-2 0,4 3 0,0 0 0</inkml:trace>
  <inkml:trace contextRef="#ctx0" brushRef="#br0" timeOffset="9229">881 197 24575,'-9'0'0,"-1"0"0,3 2 0,-2-1 0,9 4 0,-3-1 0,0-1 0,2 3 0,-1-3 0,-1 0 0,0 3 0,-4-6 0,4 6 0,-2-6 0,4 6 0,-5-5 0,6 4 0,-6-4 0,3 4 0,-3-2 0,-1 4 0,1-1 0,3 0 0,-3-3 0,6 2 0,-3-1 0,0 2 0,3 0 0,-6 0 0,5 0 0,-4 0 0,4 0 0,-4 0 0,4 0 0,-2 1 0,1-1 0,1 0 0,-2 0 0,3 0 0,0 0 0,0 0 0,0 0 0,0 0 0,0 0 0,0 0 0,0 0 0,0 0 0,0 1 0,0-1 0,0 0 0,0 0 0,0 0 0,0 0 0,0 0 0,0 0 0,0 0 0,0 0 0,0 0 0,0 0 0,3-2 0,-2 1 0,4-1 0,-2 2 0,3-3 0,1 0 0,-1-3 0,0 0 0,0 0 0,0 0 0,0 0 0,0 0 0,0 0 0,0 0 0,0 0 0,0 0 0,0-3 0,0 0 0,1-1 0,-1-1 0,0 4 0,-3-4 0,2 4 0,-1-2 0,-1 0 0,3 3 0,-3-6 0,0 3 0,3-1 0,-6-1 0,6 4 0,-5-4 0,4 1 0,-4-2 0,1 0 0,1 0 0,-2 0 0,1 0 0,-2-1 0,3 1 0,-2 0 0,1 0 0,-2 0 0,0 0 0,0-4 0,0 3 0,0-2 0,0 3 0,0 0 0,0 0 0,0 0 0,0-4 0,0 3 0,0-2 0,0 3 0,0 0 0,0 0 0,0 0 0,0-1 0,0 1 0,0 0 0,0 0 0,0 0 0,0 0 0,-2 2 0,-2 1 0,-2 1 0,0 1 0,0-4 0,0 4 0,2-5 0,-1 6 0,4-3 0,-2 3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yourdatadriven.com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73713-AE98-5749-9299-819EDD5F52D5}">
  <sheetPr codeName="Sheet1"/>
  <dimension ref="B2:Y47"/>
  <sheetViews>
    <sheetView tabSelected="1" zoomScaleNormal="100" workbookViewId="0">
      <selection activeCell="I24" sqref="I24"/>
    </sheetView>
  </sheetViews>
  <sheetFormatPr baseColWidth="10" defaultRowHeight="16" x14ac:dyDescent="0.2"/>
  <cols>
    <col min="1" max="1" width="5.83203125" style="2" customWidth="1"/>
    <col min="2" max="2" width="10.83203125" style="2"/>
    <col min="3" max="3" width="11.1640625" style="2" bestFit="1" customWidth="1"/>
    <col min="4" max="4" width="11.6640625" style="2" bestFit="1" customWidth="1"/>
    <col min="5" max="5" width="11" style="2" bestFit="1" customWidth="1"/>
    <col min="6" max="6" width="3.83203125" style="2" customWidth="1"/>
    <col min="7" max="7" width="11.6640625" style="2" bestFit="1" customWidth="1"/>
    <col min="8" max="8" width="10.83203125" style="2"/>
    <col min="9" max="9" width="11.33203125" style="2" customWidth="1"/>
    <col min="10" max="16" width="10.83203125" style="2"/>
    <col min="17" max="17" width="11" style="2" bestFit="1" customWidth="1"/>
    <col min="18" max="18" width="11.6640625" style="2" bestFit="1" customWidth="1"/>
    <col min="19" max="24" width="10.83203125" style="2"/>
    <col min="25" max="25" width="4.33203125" style="2" customWidth="1"/>
    <col min="26" max="16384" width="10.83203125" style="2"/>
  </cols>
  <sheetData>
    <row r="2" spans="2:19" x14ac:dyDescent="0.2">
      <c r="E2" s="13" t="s">
        <v>28</v>
      </c>
      <c r="H2" s="2" t="s">
        <v>27</v>
      </c>
      <c r="I2" s="2" t="s">
        <v>51</v>
      </c>
    </row>
    <row r="4" spans="2:19" ht="26" x14ac:dyDescent="0.3">
      <c r="B4" s="14" t="s">
        <v>41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2:19" ht="27" customHeight="1" x14ac:dyDescent="0.2">
      <c r="G5" s="36" t="s">
        <v>47</v>
      </c>
    </row>
    <row r="6" spans="2:19" x14ac:dyDescent="0.2">
      <c r="C6" s="5" t="s">
        <v>44</v>
      </c>
      <c r="D6" s="5" t="s">
        <v>43</v>
      </c>
      <c r="G6" s="11" t="s">
        <v>0</v>
      </c>
      <c r="H6" s="11" t="s">
        <v>26</v>
      </c>
      <c r="I6" s="35" t="s">
        <v>45</v>
      </c>
    </row>
    <row r="7" spans="2:19" x14ac:dyDescent="0.2">
      <c r="C7" s="11" t="s">
        <v>3</v>
      </c>
      <c r="D7" s="25">
        <v>3.9</v>
      </c>
      <c r="G7" s="25">
        <v>500</v>
      </c>
      <c r="H7" s="25">
        <v>10</v>
      </c>
      <c r="I7" s="25"/>
      <c r="P7" s="26"/>
    </row>
    <row r="8" spans="2:19" x14ac:dyDescent="0.2">
      <c r="C8" s="11" t="s">
        <v>4</v>
      </c>
      <c r="D8" s="25">
        <v>3.1360000000000001</v>
      </c>
      <c r="G8" s="25">
        <v>1000</v>
      </c>
      <c r="H8" s="25">
        <v>30</v>
      </c>
      <c r="I8" s="25"/>
    </row>
    <row r="9" spans="2:19" x14ac:dyDescent="0.2">
      <c r="C9" s="11" t="s">
        <v>5</v>
      </c>
      <c r="D9" s="25">
        <v>1.8879999999999999</v>
      </c>
      <c r="G9" s="25">
        <v>1500</v>
      </c>
      <c r="H9" s="25">
        <v>50</v>
      </c>
      <c r="I9" s="25"/>
      <c r="O9" s="3"/>
    </row>
    <row r="10" spans="2:19" x14ac:dyDescent="0.2">
      <c r="C10" s="11" t="s">
        <v>6</v>
      </c>
      <c r="D10" s="25">
        <v>1.33</v>
      </c>
      <c r="G10" s="25">
        <v>2000</v>
      </c>
      <c r="H10" s="25">
        <v>75</v>
      </c>
      <c r="I10" s="25"/>
    </row>
    <row r="11" spans="2:19" x14ac:dyDescent="0.2">
      <c r="C11" s="11" t="s">
        <v>7</v>
      </c>
      <c r="D11" s="25">
        <v>1</v>
      </c>
      <c r="G11" s="25">
        <v>2500</v>
      </c>
      <c r="H11" s="25">
        <v>100</v>
      </c>
      <c r="I11" s="25"/>
    </row>
    <row r="12" spans="2:19" x14ac:dyDescent="0.2">
      <c r="C12" s="11" t="s">
        <v>8</v>
      </c>
      <c r="D12" s="25">
        <v>0.81399999999999995</v>
      </c>
      <c r="G12" s="25">
        <v>3000</v>
      </c>
      <c r="H12" s="25">
        <v>115</v>
      </c>
      <c r="I12" s="25"/>
    </row>
    <row r="13" spans="2:19" x14ac:dyDescent="0.2">
      <c r="G13" s="25">
        <v>3500</v>
      </c>
      <c r="H13" s="25">
        <v>124</v>
      </c>
      <c r="I13" s="25"/>
    </row>
    <row r="14" spans="2:19" x14ac:dyDescent="0.2">
      <c r="G14" s="25">
        <v>4000</v>
      </c>
      <c r="H14" s="25">
        <v>135</v>
      </c>
      <c r="I14" s="25"/>
    </row>
    <row r="15" spans="2:19" x14ac:dyDescent="0.2">
      <c r="G15" s="25">
        <v>4500</v>
      </c>
      <c r="H15" s="25">
        <v>140</v>
      </c>
      <c r="I15" s="25"/>
    </row>
    <row r="16" spans="2:19" x14ac:dyDescent="0.2">
      <c r="G16" s="25">
        <v>5000</v>
      </c>
      <c r="H16" s="25">
        <v>140</v>
      </c>
      <c r="I16" s="25"/>
    </row>
    <row r="17" spans="2:25" x14ac:dyDescent="0.2">
      <c r="B17" s="5"/>
      <c r="C17" s="5"/>
      <c r="D17" s="5" t="s">
        <v>22</v>
      </c>
      <c r="E17" s="5" t="s">
        <v>21</v>
      </c>
      <c r="G17" s="25">
        <v>5500</v>
      </c>
      <c r="H17" s="25">
        <v>133</v>
      </c>
      <c r="I17" s="25"/>
    </row>
    <row r="18" spans="2:25" x14ac:dyDescent="0.2">
      <c r="B18" s="24" t="s">
        <v>9</v>
      </c>
      <c r="C18" s="34">
        <v>185</v>
      </c>
      <c r="D18" s="34">
        <v>60</v>
      </c>
      <c r="E18" s="34">
        <v>14</v>
      </c>
      <c r="G18" s="25">
        <v>6000</v>
      </c>
      <c r="H18" s="25">
        <v>122</v>
      </c>
      <c r="I18" s="25"/>
    </row>
    <row r="19" spans="2:25" x14ac:dyDescent="0.2">
      <c r="B19" s="5"/>
      <c r="C19" s="5"/>
      <c r="D19" s="5"/>
      <c r="E19" s="5"/>
      <c r="G19" s="25">
        <v>6500</v>
      </c>
      <c r="H19" s="25">
        <v>110</v>
      </c>
      <c r="I19" s="25"/>
    </row>
    <row r="20" spans="2:25" x14ac:dyDescent="0.2">
      <c r="G20" s="25">
        <v>7000</v>
      </c>
      <c r="H20" s="25">
        <v>100</v>
      </c>
      <c r="I20" s="25"/>
    </row>
    <row r="21" spans="2:25" x14ac:dyDescent="0.2">
      <c r="G21" s="25">
        <v>7500</v>
      </c>
      <c r="H21" s="25">
        <v>90</v>
      </c>
      <c r="I21" s="25"/>
    </row>
    <row r="22" spans="2:25" x14ac:dyDescent="0.2">
      <c r="G22" s="25">
        <v>8000</v>
      </c>
      <c r="H22" s="25">
        <v>80</v>
      </c>
      <c r="I22" s="25"/>
    </row>
    <row r="23" spans="2:25" x14ac:dyDescent="0.2">
      <c r="G23" s="1"/>
      <c r="H23" s="1"/>
      <c r="I23" s="1"/>
      <c r="J23" s="1"/>
    </row>
    <row r="24" spans="2:25" ht="26" x14ac:dyDescent="0.3">
      <c r="B24" s="14" t="s">
        <v>29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</row>
    <row r="25" spans="2:25" x14ac:dyDescent="0.2">
      <c r="U25" s="2" t="s">
        <v>37</v>
      </c>
    </row>
    <row r="26" spans="2:25" x14ac:dyDescent="0.2">
      <c r="B26" s="40" t="s">
        <v>30</v>
      </c>
      <c r="C26" s="9" t="s">
        <v>23</v>
      </c>
      <c r="D26" s="39" t="s">
        <v>0</v>
      </c>
      <c r="E26" s="39"/>
      <c r="F26" s="12"/>
      <c r="G26" s="39" t="s">
        <v>17</v>
      </c>
      <c r="H26" s="39"/>
      <c r="I26" s="5"/>
      <c r="J26" s="39" t="s">
        <v>31</v>
      </c>
      <c r="K26" s="39"/>
      <c r="U26" s="40" t="str">
        <f t="shared" ref="U26:X27" si="0">B26</f>
        <v>RPM TABLE</v>
      </c>
      <c r="V26" s="12" t="str">
        <f t="shared" si="0"/>
        <v>Gear</v>
      </c>
      <c r="W26" s="39" t="str">
        <f t="shared" si="0"/>
        <v>RPM</v>
      </c>
      <c r="X26" s="39">
        <f t="shared" si="0"/>
        <v>0</v>
      </c>
      <c r="Y26" s="12"/>
    </row>
    <row r="27" spans="2:25" ht="16" customHeight="1" x14ac:dyDescent="0.2">
      <c r="B27" s="40"/>
      <c r="C27" s="9"/>
      <c r="D27" s="21" t="s">
        <v>18</v>
      </c>
      <c r="E27" s="21" t="s">
        <v>19</v>
      </c>
      <c r="F27" s="12"/>
      <c r="G27" s="21" t="s">
        <v>18</v>
      </c>
      <c r="H27" s="21" t="s">
        <v>19</v>
      </c>
      <c r="I27" s="22"/>
      <c r="J27" s="21" t="s">
        <v>18</v>
      </c>
      <c r="K27" s="21" t="s">
        <v>19</v>
      </c>
      <c r="U27" s="40">
        <f t="shared" si="0"/>
        <v>0</v>
      </c>
      <c r="V27" s="12">
        <f t="shared" si="0"/>
        <v>0</v>
      </c>
      <c r="W27" s="21" t="str">
        <f t="shared" si="0"/>
        <v>Min</v>
      </c>
      <c r="X27" s="21" t="str">
        <f t="shared" si="0"/>
        <v>Max</v>
      </c>
      <c r="Y27" s="12"/>
    </row>
    <row r="28" spans="2:25" ht="19" x14ac:dyDescent="0.25">
      <c r="B28" s="40"/>
      <c r="C28" s="16" t="s">
        <v>4</v>
      </c>
      <c r="D28" s="17" t="s">
        <v>20</v>
      </c>
      <c r="E28" s="18">
        <f>workings!B112</f>
        <v>7785.7142857142862</v>
      </c>
      <c r="F28" s="12"/>
      <c r="G28" s="21" t="s">
        <v>20</v>
      </c>
      <c r="H28" s="23">
        <f>workings!B108</f>
        <v>43.066266511542707</v>
      </c>
      <c r="I28" s="22"/>
      <c r="J28" s="21" t="s">
        <v>20</v>
      </c>
      <c r="K28" s="23">
        <f>H28*1.6</f>
        <v>68.906026418468329</v>
      </c>
      <c r="U28" s="40">
        <f>B28</f>
        <v>0</v>
      </c>
      <c r="V28" s="16" t="str">
        <f>C28</f>
        <v>1st</v>
      </c>
      <c r="W28" s="17" t="str">
        <f>D28</f>
        <v>-</v>
      </c>
      <c r="X28" s="18">
        <f>ROUNDDOWN(E28,-2)</f>
        <v>7700</v>
      </c>
      <c r="Y28" s="12"/>
    </row>
    <row r="29" spans="2:25" ht="19" x14ac:dyDescent="0.25">
      <c r="B29" s="40"/>
      <c r="C29" s="16" t="s">
        <v>5</v>
      </c>
      <c r="D29" s="18">
        <f>workings!C111</f>
        <v>4687.3177842565601</v>
      </c>
      <c r="E29" s="18">
        <f>workings!C112</f>
        <v>7068.8559322033889</v>
      </c>
      <c r="F29" s="12"/>
      <c r="G29" s="23">
        <f>H28</f>
        <v>43.066266511542707</v>
      </c>
      <c r="H29" s="23">
        <f>workings!C108</f>
        <v>64.947427829721036</v>
      </c>
      <c r="I29" s="22"/>
      <c r="J29" s="23">
        <f>G29*1.6</f>
        <v>68.906026418468329</v>
      </c>
      <c r="K29" s="23">
        <f>H29*1.6</f>
        <v>103.91588452755366</v>
      </c>
      <c r="U29" s="40">
        <f t="shared" ref="U29:V32" si="1">B29</f>
        <v>0</v>
      </c>
      <c r="V29" s="16" t="str">
        <f t="shared" si="1"/>
        <v>2nd</v>
      </c>
      <c r="W29" s="18">
        <f>ROUNDDOWN(D29,-2)</f>
        <v>4600</v>
      </c>
      <c r="X29" s="18">
        <f t="shared" ref="X29:X31" si="2">ROUNDDOWN(E29,-2)</f>
        <v>7000</v>
      </c>
      <c r="Y29" s="12"/>
    </row>
    <row r="30" spans="2:25" ht="19" x14ac:dyDescent="0.25">
      <c r="B30" s="40"/>
      <c r="C30" s="16" t="s">
        <v>6</v>
      </c>
      <c r="D30" s="18">
        <f>workings!D111</f>
        <v>4979.6495708848051</v>
      </c>
      <c r="E30" s="18">
        <f>workings!D112</f>
        <v>6793.7131630648337</v>
      </c>
      <c r="F30" s="12"/>
      <c r="G30" s="23">
        <f>H29</f>
        <v>64.947427829721036</v>
      </c>
      <c r="H30" s="23">
        <f>workings!D108</f>
        <v>88.607479115358487</v>
      </c>
      <c r="I30" s="22"/>
      <c r="J30" s="23">
        <f>G30*1.6</f>
        <v>103.91588452755366</v>
      </c>
      <c r="K30" s="23">
        <f>H30*1.6</f>
        <v>141.77196658457359</v>
      </c>
      <c r="U30" s="40">
        <f t="shared" si="1"/>
        <v>0</v>
      </c>
      <c r="V30" s="16" t="str">
        <f t="shared" si="1"/>
        <v>3rd</v>
      </c>
      <c r="W30" s="18">
        <f t="shared" ref="W30:W32" si="3">ROUNDDOWN(D30,-2)</f>
        <v>4900</v>
      </c>
      <c r="X30" s="18">
        <f t="shared" si="2"/>
        <v>6700</v>
      </c>
      <c r="Y30" s="12"/>
    </row>
    <row r="31" spans="2:25" ht="19" x14ac:dyDescent="0.25">
      <c r="B31" s="40"/>
      <c r="C31" s="16" t="s">
        <v>7</v>
      </c>
      <c r="D31" s="18">
        <f>workings!E111</f>
        <v>5108.0550098231834</v>
      </c>
      <c r="E31" s="18">
        <f>workings!E112</f>
        <v>6456.276892097997</v>
      </c>
      <c r="F31" s="12"/>
      <c r="G31" s="23">
        <f>H30</f>
        <v>88.607479115358487</v>
      </c>
      <c r="H31" s="23">
        <f>workings!E108</f>
        <v>111.99456912257244</v>
      </c>
      <c r="I31" s="22"/>
      <c r="J31" s="23">
        <f>G31*1.6</f>
        <v>141.77196658457359</v>
      </c>
      <c r="K31" s="23">
        <f>H31*1.6</f>
        <v>179.19131059611593</v>
      </c>
      <c r="U31" s="40">
        <f t="shared" si="1"/>
        <v>0</v>
      </c>
      <c r="V31" s="16" t="str">
        <f t="shared" si="1"/>
        <v>4th</v>
      </c>
      <c r="W31" s="18">
        <f t="shared" si="3"/>
        <v>5100</v>
      </c>
      <c r="X31" s="18">
        <f t="shared" si="2"/>
        <v>6400</v>
      </c>
      <c r="Y31" s="12"/>
    </row>
    <row r="32" spans="2:25" ht="19" x14ac:dyDescent="0.25">
      <c r="B32" s="40"/>
      <c r="C32" s="16" t="s">
        <v>8</v>
      </c>
      <c r="D32" s="18">
        <f>workings!F111</f>
        <v>5255.4093901677707</v>
      </c>
      <c r="E32" s="17" t="s">
        <v>20</v>
      </c>
      <c r="F32" s="12"/>
      <c r="G32" s="23">
        <f>H31</f>
        <v>111.99456912257244</v>
      </c>
      <c r="H32" s="21"/>
      <c r="I32" s="22"/>
      <c r="J32" s="23">
        <f>G32*1.6</f>
        <v>179.19131059611593</v>
      </c>
      <c r="K32" s="21" t="s">
        <v>20</v>
      </c>
      <c r="U32" s="40">
        <f t="shared" si="1"/>
        <v>0</v>
      </c>
      <c r="V32" s="16" t="str">
        <f t="shared" si="1"/>
        <v>5th</v>
      </c>
      <c r="W32" s="18">
        <f t="shared" si="3"/>
        <v>5200</v>
      </c>
      <c r="X32" s="17" t="str">
        <f>E32</f>
        <v>-</v>
      </c>
      <c r="Y32" s="12"/>
    </row>
    <row r="33" spans="2:25" x14ac:dyDescent="0.2">
      <c r="B33" s="40"/>
      <c r="C33" s="12"/>
      <c r="D33" s="10"/>
      <c r="E33" s="12"/>
      <c r="F33" s="12"/>
      <c r="G33" s="23"/>
      <c r="H33" s="21"/>
      <c r="I33" s="22"/>
      <c r="J33" s="23"/>
      <c r="K33" s="21"/>
      <c r="U33" s="40">
        <f>B33</f>
        <v>0</v>
      </c>
      <c r="V33" s="12"/>
      <c r="W33" s="10"/>
      <c r="X33" s="12"/>
      <c r="Y33" s="12"/>
    </row>
    <row r="38" spans="2:25" x14ac:dyDescent="0.2">
      <c r="C38" s="2">
        <f>0</f>
        <v>0</v>
      </c>
      <c r="D38" s="2">
        <v>0</v>
      </c>
      <c r="F38" s="2" t="s">
        <v>4</v>
      </c>
      <c r="G38" s="3">
        <f>(D39-D38)/2+D38</f>
        <v>21.533133255771354</v>
      </c>
      <c r="H38" s="3">
        <f>H39</f>
        <v>5878.0868582299745</v>
      </c>
    </row>
    <row r="39" spans="2:25" x14ac:dyDescent="0.2">
      <c r="C39" s="4">
        <f>E28</f>
        <v>7785.7142857142862</v>
      </c>
      <c r="D39" s="3">
        <f>H28</f>
        <v>43.066266511542707</v>
      </c>
      <c r="F39" s="2" t="s">
        <v>5</v>
      </c>
      <c r="G39" s="3">
        <f>(D41-D40)/2+D40</f>
        <v>54.006847170631872</v>
      </c>
      <c r="H39" s="3">
        <f>(C41-C40)/2+C40</f>
        <v>5878.0868582299745</v>
      </c>
    </row>
    <row r="40" spans="2:25" x14ac:dyDescent="0.2">
      <c r="C40" s="4">
        <f>D29</f>
        <v>4687.3177842565601</v>
      </c>
      <c r="D40" s="3">
        <f>D39</f>
        <v>43.066266511542707</v>
      </c>
      <c r="F40" s="2" t="s">
        <v>6</v>
      </c>
      <c r="G40" s="3">
        <f>(D43-D42)/2+D42</f>
        <v>76.777453472539761</v>
      </c>
      <c r="H40" s="3">
        <f>H39</f>
        <v>5878.0868582299745</v>
      </c>
    </row>
    <row r="41" spans="2:25" x14ac:dyDescent="0.2">
      <c r="C41" s="4">
        <f>E29</f>
        <v>7068.8559322033889</v>
      </c>
      <c r="D41" s="3">
        <f>H29</f>
        <v>64.947427829721036</v>
      </c>
      <c r="F41" s="2" t="s">
        <v>7</v>
      </c>
      <c r="G41" s="3">
        <f>(D45-D44)/2+D44</f>
        <v>100.30102411896547</v>
      </c>
      <c r="H41" s="3">
        <f>H39</f>
        <v>5878.0868582299745</v>
      </c>
    </row>
    <row r="42" spans="2:25" x14ac:dyDescent="0.2">
      <c r="C42" s="4">
        <f>D30</f>
        <v>4979.6495708848051</v>
      </c>
      <c r="D42" s="3">
        <f>D41</f>
        <v>64.947427829721036</v>
      </c>
      <c r="F42" s="2" t="s">
        <v>8</v>
      </c>
      <c r="G42" s="3">
        <f>(D47-D46)/2+D46</f>
        <v>123.68811412617941</v>
      </c>
      <c r="H42" s="3">
        <f>H39</f>
        <v>5878.0868582299745</v>
      </c>
    </row>
    <row r="43" spans="2:25" x14ac:dyDescent="0.2">
      <c r="C43" s="4">
        <f>E30</f>
        <v>6793.7131630648337</v>
      </c>
      <c r="D43" s="3">
        <f>H30</f>
        <v>88.607479115358487</v>
      </c>
    </row>
    <row r="44" spans="2:25" x14ac:dyDescent="0.2">
      <c r="C44" s="4">
        <f>D31</f>
        <v>5108.0550098231834</v>
      </c>
      <c r="D44" s="3">
        <f>D43</f>
        <v>88.607479115358487</v>
      </c>
    </row>
    <row r="45" spans="2:25" x14ac:dyDescent="0.2">
      <c r="C45" s="4">
        <f>E31</f>
        <v>6456.276892097997</v>
      </c>
      <c r="D45" s="3">
        <f>H31</f>
        <v>111.99456912257244</v>
      </c>
    </row>
    <row r="46" spans="2:25" x14ac:dyDescent="0.2">
      <c r="C46" s="4">
        <f>D32</f>
        <v>5255.4093901677707</v>
      </c>
      <c r="D46" s="3">
        <f>D45</f>
        <v>111.99456912257244</v>
      </c>
    </row>
    <row r="47" spans="2:25" x14ac:dyDescent="0.2">
      <c r="C47" s="4">
        <f>C45</f>
        <v>6456.276892097997</v>
      </c>
      <c r="D47" s="3">
        <f>D46+(D45-D44)</f>
        <v>135.38165912978639</v>
      </c>
    </row>
  </sheetData>
  <mergeCells count="6">
    <mergeCell ref="W26:X26"/>
    <mergeCell ref="D26:E26"/>
    <mergeCell ref="G26:H26"/>
    <mergeCell ref="B26:B33"/>
    <mergeCell ref="J26:K26"/>
    <mergeCell ref="U26:U33"/>
  </mergeCells>
  <hyperlinks>
    <hyperlink ref="E2" r:id="rId1" xr:uid="{289DFB05-0181-A74A-B9FF-DBC5B3B4E322}"/>
  </hyperlinks>
  <pageMargins left="0.7" right="0.7" top="0.75" bottom="0.75" header="0.3" footer="0.3"/>
  <ignoredErrors>
    <ignoredError sqref="W3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7</xdr:col>
                    <xdr:colOff>254000</xdr:colOff>
                    <xdr:row>4</xdr:row>
                    <xdr:rowOff>0</xdr:rowOff>
                  </from>
                  <to>
                    <xdr:col>8</xdr:col>
                    <xdr:colOff>342900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8</xdr:col>
                    <xdr:colOff>228600</xdr:colOff>
                    <xdr:row>4</xdr:row>
                    <xdr:rowOff>0</xdr:rowOff>
                  </from>
                  <to>
                    <xdr:col>9</xdr:col>
                    <xdr:colOff>279400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1CC06-E54F-4244-BD7D-7FDC8EF3FAE6}">
  <dimension ref="B4:Q122"/>
  <sheetViews>
    <sheetView zoomScaleNormal="100" workbookViewId="0">
      <selection activeCell="P23" sqref="P23"/>
    </sheetView>
  </sheetViews>
  <sheetFormatPr baseColWidth="10" defaultRowHeight="16" x14ac:dyDescent="0.2"/>
  <cols>
    <col min="1" max="16384" width="10.83203125" style="2"/>
  </cols>
  <sheetData>
    <row r="4" spans="2:17" ht="24" x14ac:dyDescent="0.3">
      <c r="B4" s="28" t="s">
        <v>32</v>
      </c>
    </row>
    <row r="7" spans="2:17" x14ac:dyDescent="0.2">
      <c r="E7" s="26" t="s">
        <v>50</v>
      </c>
      <c r="F7" s="38">
        <v>1</v>
      </c>
    </row>
    <row r="8" spans="2:17" x14ac:dyDescent="0.2">
      <c r="B8" s="2" t="s">
        <v>42</v>
      </c>
    </row>
    <row r="9" spans="2:17" x14ac:dyDescent="0.2">
      <c r="B9" s="2" t="s">
        <v>0</v>
      </c>
      <c r="C9" s="2" t="s">
        <v>48</v>
      </c>
      <c r="D9" s="2" t="s">
        <v>1</v>
      </c>
      <c r="E9" s="2" t="s">
        <v>49</v>
      </c>
      <c r="F9" s="19" t="s">
        <v>46</v>
      </c>
      <c r="G9" s="19" t="s">
        <v>2</v>
      </c>
      <c r="I9" s="5" t="s">
        <v>33</v>
      </c>
      <c r="J9" s="5"/>
      <c r="K9" s="5"/>
      <c r="L9" s="5"/>
      <c r="N9" s="40" t="str">
        <f>'Summary Sheet'!B26</f>
        <v>RPM TABLE</v>
      </c>
      <c r="O9" s="12" t="str">
        <f>'Summary Sheet'!C26</f>
        <v>Gear</v>
      </c>
      <c r="P9" s="39" t="str">
        <f>'Summary Sheet'!D26</f>
        <v>RPM</v>
      </c>
      <c r="Q9" s="39">
        <f>'Summary Sheet'!E26</f>
        <v>0</v>
      </c>
    </row>
    <row r="10" spans="2:17" x14ac:dyDescent="0.2">
      <c r="B10" s="25">
        <f>'Summary Sheet'!G7</f>
        <v>500</v>
      </c>
      <c r="C10" s="25">
        <f>'Summary Sheet'!H7</f>
        <v>10</v>
      </c>
      <c r="D10" s="25">
        <f>'Summary Sheet'!I7</f>
        <v>0</v>
      </c>
      <c r="E10" s="37">
        <f>D10/1.3558179</f>
        <v>0</v>
      </c>
      <c r="F10" s="20">
        <f>IF($F$7=1,C10,E10)</f>
        <v>10</v>
      </c>
      <c r="G10" s="20">
        <f>(B10*F10)/5252</f>
        <v>0.95201827875095202</v>
      </c>
      <c r="I10" s="5"/>
      <c r="J10" s="12" t="s">
        <v>15</v>
      </c>
      <c r="K10" s="12" t="s">
        <v>14</v>
      </c>
      <c r="L10" s="5"/>
      <c r="N10" s="40">
        <f>'Summary Sheet'!B27</f>
        <v>0</v>
      </c>
      <c r="O10" s="12">
        <f>'Summary Sheet'!C27</f>
        <v>0</v>
      </c>
      <c r="P10" s="21" t="str">
        <f>'Summary Sheet'!D27</f>
        <v>Min</v>
      </c>
      <c r="Q10" s="21" t="str">
        <f>'Summary Sheet'!E27</f>
        <v>Max</v>
      </c>
    </row>
    <row r="11" spans="2:17" ht="19" x14ac:dyDescent="0.25">
      <c r="B11" s="25">
        <f>'Summary Sheet'!G8</f>
        <v>1000</v>
      </c>
      <c r="C11" s="25">
        <f>'Summary Sheet'!H8</f>
        <v>30</v>
      </c>
      <c r="D11" s="25">
        <f>'Summary Sheet'!I8</f>
        <v>0</v>
      </c>
      <c r="E11" s="37">
        <f t="shared" ref="E11:E25" si="0">D11/1.3558179</f>
        <v>0</v>
      </c>
      <c r="F11" s="20">
        <f t="shared" ref="F11:F25" si="1">IF($F$7=1,C11,E11)</f>
        <v>30</v>
      </c>
      <c r="G11" s="20">
        <f t="shared" ref="G11:G25" si="2">(B11*F11)/5252</f>
        <v>5.7121096725057123</v>
      </c>
      <c r="I11" s="12" t="s">
        <v>10</v>
      </c>
      <c r="J11" s="7">
        <f>K11*25.4</f>
        <v>577.6</v>
      </c>
      <c r="K11" s="7">
        <f>(K13*2)+'Summary Sheet'!E18</f>
        <v>22.740157480314963</v>
      </c>
      <c r="L11" s="5" t="s">
        <v>24</v>
      </c>
      <c r="N11" s="40">
        <f>'Summary Sheet'!B28</f>
        <v>0</v>
      </c>
      <c r="O11" s="16" t="str">
        <f>'Summary Sheet'!C28</f>
        <v>1st</v>
      </c>
      <c r="P11" s="17" t="str">
        <f>'Summary Sheet'!D28</f>
        <v>-</v>
      </c>
      <c r="Q11" s="18">
        <f>'Summary Sheet'!E28</f>
        <v>7785.7142857142862</v>
      </c>
    </row>
    <row r="12" spans="2:17" ht="19" x14ac:dyDescent="0.25">
      <c r="B12" s="25">
        <f>'Summary Sheet'!G9</f>
        <v>1500</v>
      </c>
      <c r="C12" s="25">
        <f>'Summary Sheet'!H9</f>
        <v>50</v>
      </c>
      <c r="D12" s="25">
        <f>'Summary Sheet'!I9</f>
        <v>0</v>
      </c>
      <c r="E12" s="37">
        <f t="shared" si="0"/>
        <v>0</v>
      </c>
      <c r="F12" s="20">
        <f t="shared" si="1"/>
        <v>50</v>
      </c>
      <c r="G12" s="20">
        <f t="shared" si="2"/>
        <v>14.28027418126428</v>
      </c>
      <c r="I12" s="12" t="s">
        <v>11</v>
      </c>
      <c r="J12" s="7">
        <f>'Summary Sheet'!C18</f>
        <v>185</v>
      </c>
      <c r="K12" s="7">
        <f>J12/25.4</f>
        <v>7.2834645669291342</v>
      </c>
      <c r="L12" s="5" t="s">
        <v>24</v>
      </c>
      <c r="N12" s="40">
        <f>'Summary Sheet'!B29</f>
        <v>0</v>
      </c>
      <c r="O12" s="16" t="str">
        <f>'Summary Sheet'!C29</f>
        <v>2nd</v>
      </c>
      <c r="P12" s="18">
        <f>'Summary Sheet'!D29</f>
        <v>4687.3177842565601</v>
      </c>
      <c r="Q12" s="18">
        <f>'Summary Sheet'!E29</f>
        <v>7068.8559322033889</v>
      </c>
    </row>
    <row r="13" spans="2:17" ht="19" x14ac:dyDescent="0.25">
      <c r="B13" s="25">
        <f>'Summary Sheet'!G10</f>
        <v>2000</v>
      </c>
      <c r="C13" s="25">
        <f>'Summary Sheet'!H10</f>
        <v>75</v>
      </c>
      <c r="D13" s="25">
        <f>'Summary Sheet'!I10</f>
        <v>0</v>
      </c>
      <c r="E13" s="37">
        <f t="shared" si="0"/>
        <v>0</v>
      </c>
      <c r="F13" s="20">
        <f t="shared" si="1"/>
        <v>75</v>
      </c>
      <c r="G13" s="20">
        <f t="shared" si="2"/>
        <v>28.560548362528561</v>
      </c>
      <c r="I13" s="12" t="s">
        <v>12</v>
      </c>
      <c r="J13" s="7">
        <f>'Summary Sheet'!C18*('Summary Sheet'!D18/100)</f>
        <v>111</v>
      </c>
      <c r="K13" s="30">
        <f>J13/25.4</f>
        <v>4.3700787401574805</v>
      </c>
      <c r="L13" s="5" t="s">
        <v>24</v>
      </c>
      <c r="N13" s="40">
        <f>'Summary Sheet'!B30</f>
        <v>0</v>
      </c>
      <c r="O13" s="16" t="str">
        <f>'Summary Sheet'!C30</f>
        <v>3rd</v>
      </c>
      <c r="P13" s="18">
        <f>'Summary Sheet'!D30</f>
        <v>4979.6495708848051</v>
      </c>
      <c r="Q13" s="18">
        <f>'Summary Sheet'!E30</f>
        <v>6793.7131630648337</v>
      </c>
    </row>
    <row r="14" spans="2:17" ht="19" x14ac:dyDescent="0.25">
      <c r="B14" s="25">
        <f>'Summary Sheet'!G11</f>
        <v>2500</v>
      </c>
      <c r="C14" s="25">
        <f>'Summary Sheet'!H11</f>
        <v>100</v>
      </c>
      <c r="D14" s="25">
        <f>'Summary Sheet'!I11</f>
        <v>0</v>
      </c>
      <c r="E14" s="37">
        <f t="shared" si="0"/>
        <v>0</v>
      </c>
      <c r="F14" s="20">
        <f t="shared" si="1"/>
        <v>100</v>
      </c>
      <c r="G14" s="20">
        <f t="shared" si="2"/>
        <v>47.600913937547602</v>
      </c>
      <c r="I14" s="12" t="s">
        <v>13</v>
      </c>
      <c r="J14" s="7">
        <f>PI()*J11</f>
        <v>1814.5839167134645</v>
      </c>
      <c r="K14" s="7">
        <f>PI()*K11</f>
        <v>71.440311681632465</v>
      </c>
      <c r="L14" s="5" t="s">
        <v>24</v>
      </c>
      <c r="N14" s="40">
        <f>'Summary Sheet'!B31</f>
        <v>0</v>
      </c>
      <c r="O14" s="16" t="str">
        <f>'Summary Sheet'!C31</f>
        <v>4th</v>
      </c>
      <c r="P14" s="18">
        <f>'Summary Sheet'!D31</f>
        <v>5108.0550098231834</v>
      </c>
      <c r="Q14" s="18">
        <f>'Summary Sheet'!E31</f>
        <v>6456.276892097997</v>
      </c>
    </row>
    <row r="15" spans="2:17" ht="19" x14ac:dyDescent="0.25">
      <c r="B15" s="25">
        <f>'Summary Sheet'!G12</f>
        <v>3000</v>
      </c>
      <c r="C15" s="25">
        <f>'Summary Sheet'!H12</f>
        <v>115</v>
      </c>
      <c r="D15" s="25">
        <f>'Summary Sheet'!I12</f>
        <v>0</v>
      </c>
      <c r="E15" s="37">
        <f t="shared" si="0"/>
        <v>0</v>
      </c>
      <c r="F15" s="20">
        <f t="shared" si="1"/>
        <v>115</v>
      </c>
      <c r="G15" s="20">
        <f t="shared" si="2"/>
        <v>65.689261233815685</v>
      </c>
      <c r="I15" s="12" t="s">
        <v>16</v>
      </c>
      <c r="J15" s="7">
        <f>K15/1.6</f>
        <v>554.30889182670364</v>
      </c>
      <c r="K15" s="7">
        <f>63360/K14</f>
        <v>886.89422692272581</v>
      </c>
      <c r="L15" s="5" t="s">
        <v>25</v>
      </c>
      <c r="N15" s="40">
        <f>'Summary Sheet'!B32</f>
        <v>0</v>
      </c>
      <c r="O15" s="16" t="str">
        <f>'Summary Sheet'!C32</f>
        <v>5th</v>
      </c>
      <c r="P15" s="18">
        <f>'Summary Sheet'!D32</f>
        <v>5255.4093901677707</v>
      </c>
      <c r="Q15" s="17" t="str">
        <f>'Summary Sheet'!E32</f>
        <v>-</v>
      </c>
    </row>
    <row r="16" spans="2:17" x14ac:dyDescent="0.2">
      <c r="B16" s="25">
        <f>'Summary Sheet'!G13</f>
        <v>3500</v>
      </c>
      <c r="C16" s="25">
        <f>'Summary Sheet'!H13</f>
        <v>124</v>
      </c>
      <c r="D16" s="25">
        <f>'Summary Sheet'!I13</f>
        <v>0</v>
      </c>
      <c r="E16" s="37">
        <f t="shared" si="0"/>
        <v>0</v>
      </c>
      <c r="F16" s="20">
        <f t="shared" si="1"/>
        <v>124</v>
      </c>
      <c r="G16" s="20">
        <f t="shared" si="2"/>
        <v>82.635186595582638</v>
      </c>
      <c r="N16" s="40">
        <f>'Summary Sheet'!B33</f>
        <v>0</v>
      </c>
      <c r="O16" s="12"/>
      <c r="P16" s="10"/>
      <c r="Q16" s="12"/>
    </row>
    <row r="17" spans="2:11" x14ac:dyDescent="0.2">
      <c r="B17" s="25">
        <f>'Summary Sheet'!G14</f>
        <v>4000</v>
      </c>
      <c r="C17" s="25">
        <f>'Summary Sheet'!H14</f>
        <v>135</v>
      </c>
      <c r="D17" s="25">
        <f>'Summary Sheet'!I14</f>
        <v>0</v>
      </c>
      <c r="E17" s="37">
        <f t="shared" si="0"/>
        <v>0</v>
      </c>
      <c r="F17" s="20">
        <f t="shared" si="1"/>
        <v>135</v>
      </c>
      <c r="G17" s="20">
        <f t="shared" si="2"/>
        <v>102.81797410510282</v>
      </c>
    </row>
    <row r="18" spans="2:11" x14ac:dyDescent="0.2">
      <c r="B18" s="25">
        <f>'Summary Sheet'!G15</f>
        <v>4500</v>
      </c>
      <c r="C18" s="25">
        <f>'Summary Sheet'!H15</f>
        <v>140</v>
      </c>
      <c r="D18" s="25">
        <f>'Summary Sheet'!I15</f>
        <v>0</v>
      </c>
      <c r="E18" s="37">
        <f t="shared" si="0"/>
        <v>0</v>
      </c>
      <c r="F18" s="20">
        <f t="shared" si="1"/>
        <v>140</v>
      </c>
      <c r="G18" s="20">
        <f t="shared" si="2"/>
        <v>119.95430312261995</v>
      </c>
      <c r="I18" s="2" t="s">
        <v>19</v>
      </c>
      <c r="K18" s="26" t="s">
        <v>34</v>
      </c>
    </row>
    <row r="19" spans="2:11" x14ac:dyDescent="0.2">
      <c r="B19" s="25">
        <f>'Summary Sheet'!G16</f>
        <v>5000</v>
      </c>
      <c r="C19" s="25">
        <f>'Summary Sheet'!H16</f>
        <v>140</v>
      </c>
      <c r="D19" s="25">
        <f>'Summary Sheet'!I16</f>
        <v>0</v>
      </c>
      <c r="E19" s="37">
        <f t="shared" si="0"/>
        <v>0</v>
      </c>
      <c r="F19" s="20">
        <f t="shared" si="1"/>
        <v>140</v>
      </c>
      <c r="G19" s="20">
        <f t="shared" si="2"/>
        <v>133.28255902513328</v>
      </c>
      <c r="I19" s="2" t="s">
        <v>35</v>
      </c>
      <c r="J19" s="3">
        <f>MAX(F10:F25)</f>
        <v>140</v>
      </c>
      <c r="K19" s="2">
        <f>INDEX(B10:G25,MATCH(J19,F10:F25,0),1)</f>
        <v>4500</v>
      </c>
    </row>
    <row r="20" spans="2:11" x14ac:dyDescent="0.2">
      <c r="B20" s="25">
        <f>'Summary Sheet'!G17</f>
        <v>5500</v>
      </c>
      <c r="C20" s="25">
        <f>'Summary Sheet'!H17</f>
        <v>133</v>
      </c>
      <c r="D20" s="25">
        <f>'Summary Sheet'!I17</f>
        <v>0</v>
      </c>
      <c r="E20" s="37">
        <f t="shared" si="0"/>
        <v>0</v>
      </c>
      <c r="F20" s="20">
        <f t="shared" si="1"/>
        <v>133</v>
      </c>
      <c r="G20" s="20">
        <f t="shared" si="2"/>
        <v>139.28027418126428</v>
      </c>
      <c r="I20" s="2" t="s">
        <v>36</v>
      </c>
      <c r="J20" s="3">
        <f>MAX(G10:G25)</f>
        <v>139.37547600913936</v>
      </c>
      <c r="K20" s="2">
        <f>INDEX(B10:G25,MATCH(J20,G10:G25,0),1)</f>
        <v>6000</v>
      </c>
    </row>
    <row r="21" spans="2:11" x14ac:dyDescent="0.2">
      <c r="B21" s="25">
        <f>'Summary Sheet'!G18</f>
        <v>6000</v>
      </c>
      <c r="C21" s="25">
        <f>'Summary Sheet'!H18</f>
        <v>122</v>
      </c>
      <c r="D21" s="25">
        <f>'Summary Sheet'!I18</f>
        <v>0</v>
      </c>
      <c r="E21" s="37">
        <f t="shared" si="0"/>
        <v>0</v>
      </c>
      <c r="F21" s="20">
        <f t="shared" si="1"/>
        <v>122</v>
      </c>
      <c r="G21" s="20">
        <f t="shared" si="2"/>
        <v>139.37547600913936</v>
      </c>
    </row>
    <row r="22" spans="2:11" x14ac:dyDescent="0.2">
      <c r="B22" s="25">
        <f>'Summary Sheet'!G19</f>
        <v>6500</v>
      </c>
      <c r="C22" s="25">
        <f>'Summary Sheet'!H19</f>
        <v>110</v>
      </c>
      <c r="D22" s="25">
        <f>'Summary Sheet'!I19</f>
        <v>0</v>
      </c>
      <c r="E22" s="37">
        <f t="shared" si="0"/>
        <v>0</v>
      </c>
      <c r="F22" s="20">
        <f t="shared" si="1"/>
        <v>110</v>
      </c>
      <c r="G22" s="20">
        <f t="shared" si="2"/>
        <v>136.13861386138615</v>
      </c>
    </row>
    <row r="23" spans="2:11" x14ac:dyDescent="0.2">
      <c r="B23" s="25">
        <f>'Summary Sheet'!G20</f>
        <v>7000</v>
      </c>
      <c r="C23" s="25">
        <f>'Summary Sheet'!H20</f>
        <v>100</v>
      </c>
      <c r="D23" s="25">
        <f>'Summary Sheet'!I20</f>
        <v>0</v>
      </c>
      <c r="E23" s="37">
        <f t="shared" si="0"/>
        <v>0</v>
      </c>
      <c r="F23" s="20">
        <f t="shared" si="1"/>
        <v>100</v>
      </c>
      <c r="G23" s="20">
        <f t="shared" si="2"/>
        <v>133.28255902513328</v>
      </c>
    </row>
    <row r="24" spans="2:11" x14ac:dyDescent="0.2">
      <c r="B24" s="25">
        <f>'Summary Sheet'!G21</f>
        <v>7500</v>
      </c>
      <c r="C24" s="25">
        <f>'Summary Sheet'!H21</f>
        <v>90</v>
      </c>
      <c r="D24" s="25">
        <f>'Summary Sheet'!I21</f>
        <v>0</v>
      </c>
      <c r="E24" s="37">
        <f t="shared" si="0"/>
        <v>0</v>
      </c>
      <c r="F24" s="20">
        <f t="shared" si="1"/>
        <v>90</v>
      </c>
      <c r="G24" s="20">
        <f t="shared" si="2"/>
        <v>128.52246763137853</v>
      </c>
    </row>
    <row r="25" spans="2:11" x14ac:dyDescent="0.2">
      <c r="B25" s="25">
        <f>'Summary Sheet'!G22</f>
        <v>8000</v>
      </c>
      <c r="C25" s="25">
        <f>'Summary Sheet'!H22</f>
        <v>80</v>
      </c>
      <c r="D25" s="25">
        <f>'Summary Sheet'!I22</f>
        <v>0</v>
      </c>
      <c r="E25" s="37">
        <f t="shared" si="0"/>
        <v>0</v>
      </c>
      <c r="F25" s="20">
        <f t="shared" si="1"/>
        <v>80</v>
      </c>
      <c r="G25" s="20">
        <f t="shared" si="2"/>
        <v>121.85833968012186</v>
      </c>
    </row>
    <row r="28" spans="2:11" x14ac:dyDescent="0.2">
      <c r="B28" s="11" t="s">
        <v>17</v>
      </c>
      <c r="C28" s="12" t="s">
        <v>4</v>
      </c>
      <c r="D28" s="12" t="s">
        <v>5</v>
      </c>
      <c r="E28" s="12" t="s">
        <v>6</v>
      </c>
      <c r="F28" s="12" t="s">
        <v>7</v>
      </c>
      <c r="G28" s="12" t="s">
        <v>8</v>
      </c>
    </row>
    <row r="29" spans="2:11" x14ac:dyDescent="0.2">
      <c r="B29" s="11" t="s">
        <v>38</v>
      </c>
      <c r="C29" s="11">
        <f>'Summary Sheet'!D8*'Summary Sheet'!D7</f>
        <v>12.230399999999999</v>
      </c>
      <c r="D29" s="11">
        <f>'Summary Sheet'!D7*'Summary Sheet'!D9</f>
        <v>7.3631999999999991</v>
      </c>
      <c r="E29" s="11">
        <f>'Summary Sheet'!D7*'Summary Sheet'!D10</f>
        <v>5.1870000000000003</v>
      </c>
      <c r="F29" s="12">
        <f>'Summary Sheet'!D7*'Summary Sheet'!D11</f>
        <v>3.9</v>
      </c>
      <c r="G29" s="12">
        <f>'Summary Sheet'!D7*'Summary Sheet'!D12</f>
        <v>3.1745999999999999</v>
      </c>
    </row>
    <row r="30" spans="2:11" x14ac:dyDescent="0.2">
      <c r="B30" s="11" t="s">
        <v>0</v>
      </c>
      <c r="C30" s="12"/>
      <c r="D30" s="12"/>
      <c r="E30" s="12"/>
      <c r="F30" s="12"/>
      <c r="G30" s="12"/>
    </row>
    <row r="31" spans="2:11" x14ac:dyDescent="0.2">
      <c r="B31" s="11">
        <f>B10</f>
        <v>500</v>
      </c>
      <c r="C31" s="7">
        <f t="shared" ref="C31:G40" si="3">$B31*60* $K$14/63360 / C$29</f>
        <v>2.7657235374385221</v>
      </c>
      <c r="D31" s="7">
        <f t="shared" si="3"/>
        <v>4.5939136723555123</v>
      </c>
      <c r="E31" s="7">
        <f t="shared" si="3"/>
        <v>6.5212849724866206</v>
      </c>
      <c r="F31" s="7">
        <f t="shared" si="3"/>
        <v>8.6733090134072057</v>
      </c>
      <c r="G31" s="7">
        <f t="shared" si="3"/>
        <v>10.65517077814153</v>
      </c>
    </row>
    <row r="32" spans="2:11" x14ac:dyDescent="0.2">
      <c r="B32" s="11">
        <f t="shared" ref="B32:B46" si="4">B11</f>
        <v>1000</v>
      </c>
      <c r="C32" s="7">
        <f t="shared" si="3"/>
        <v>5.5314470748770441</v>
      </c>
      <c r="D32" s="7">
        <f t="shared" si="3"/>
        <v>9.1878273447110246</v>
      </c>
      <c r="E32" s="7">
        <f t="shared" si="3"/>
        <v>13.042569944973241</v>
      </c>
      <c r="F32" s="7">
        <f t="shared" si="3"/>
        <v>17.346618026814411</v>
      </c>
      <c r="G32" s="7">
        <f t="shared" si="3"/>
        <v>21.31034155628306</v>
      </c>
    </row>
    <row r="33" spans="2:7" x14ac:dyDescent="0.2">
      <c r="B33" s="11">
        <f t="shared" si="4"/>
        <v>1500</v>
      </c>
      <c r="C33" s="7">
        <f t="shared" si="3"/>
        <v>8.2971706123155666</v>
      </c>
      <c r="D33" s="7">
        <f t="shared" si="3"/>
        <v>13.781741017066535</v>
      </c>
      <c r="E33" s="7">
        <f t="shared" si="3"/>
        <v>19.56385491745986</v>
      </c>
      <c r="F33" s="7">
        <f t="shared" si="3"/>
        <v>26.019927040221617</v>
      </c>
      <c r="G33" s="7">
        <f t="shared" si="3"/>
        <v>31.965512334424592</v>
      </c>
    </row>
    <row r="34" spans="2:7" x14ac:dyDescent="0.2">
      <c r="B34" s="11">
        <f t="shared" si="4"/>
        <v>2000</v>
      </c>
      <c r="C34" s="7">
        <f t="shared" si="3"/>
        <v>11.062894149754088</v>
      </c>
      <c r="D34" s="7">
        <f t="shared" si="3"/>
        <v>18.375654689422049</v>
      </c>
      <c r="E34" s="7">
        <f t="shared" si="3"/>
        <v>26.085139889946483</v>
      </c>
      <c r="F34" s="7">
        <f t="shared" si="3"/>
        <v>34.693236053628823</v>
      </c>
      <c r="G34" s="7">
        <f t="shared" si="3"/>
        <v>42.62068311256612</v>
      </c>
    </row>
    <row r="35" spans="2:7" x14ac:dyDescent="0.2">
      <c r="B35" s="11">
        <f t="shared" si="4"/>
        <v>2500</v>
      </c>
      <c r="C35" s="7">
        <f t="shared" si="3"/>
        <v>13.828617687192608</v>
      </c>
      <c r="D35" s="7">
        <f t="shared" si="3"/>
        <v>22.969568361777554</v>
      </c>
      <c r="E35" s="7">
        <f t="shared" si="3"/>
        <v>32.606424862433094</v>
      </c>
      <c r="F35" s="7">
        <f t="shared" si="3"/>
        <v>43.366545067036022</v>
      </c>
      <c r="G35" s="7">
        <f t="shared" si="3"/>
        <v>53.275853890707644</v>
      </c>
    </row>
    <row r="36" spans="2:7" x14ac:dyDescent="0.2">
      <c r="B36" s="11">
        <f t="shared" si="4"/>
        <v>3000</v>
      </c>
      <c r="C36" s="7">
        <f t="shared" si="3"/>
        <v>16.594341224631133</v>
      </c>
      <c r="D36" s="7">
        <f t="shared" si="3"/>
        <v>27.56348203413307</v>
      </c>
      <c r="E36" s="7">
        <f t="shared" si="3"/>
        <v>39.12770983491972</v>
      </c>
      <c r="F36" s="7">
        <f t="shared" si="3"/>
        <v>52.039854080443234</v>
      </c>
      <c r="G36" s="7">
        <f t="shared" si="3"/>
        <v>63.931024668849183</v>
      </c>
    </row>
    <row r="37" spans="2:7" x14ac:dyDescent="0.2">
      <c r="B37" s="11">
        <f t="shared" si="4"/>
        <v>3500</v>
      </c>
      <c r="C37" s="7">
        <f t="shared" si="3"/>
        <v>19.360064762069655</v>
      </c>
      <c r="D37" s="7">
        <f t="shared" si="3"/>
        <v>32.157395706488586</v>
      </c>
      <c r="E37" s="7">
        <f t="shared" si="3"/>
        <v>45.648994807406339</v>
      </c>
      <c r="F37" s="7">
        <f t="shared" si="3"/>
        <v>60.71316309385044</v>
      </c>
      <c r="G37" s="7">
        <f t="shared" si="3"/>
        <v>74.586195446990715</v>
      </c>
    </row>
    <row r="38" spans="2:7" x14ac:dyDescent="0.2">
      <c r="B38" s="11">
        <f t="shared" si="4"/>
        <v>4000</v>
      </c>
      <c r="C38" s="7">
        <f t="shared" si="3"/>
        <v>22.125788299508176</v>
      </c>
      <c r="D38" s="7">
        <f t="shared" si="3"/>
        <v>36.751309378844098</v>
      </c>
      <c r="E38" s="7">
        <f t="shared" si="3"/>
        <v>52.170279779892965</v>
      </c>
      <c r="F38" s="7">
        <f t="shared" si="3"/>
        <v>69.386472107257646</v>
      </c>
      <c r="G38" s="7">
        <f t="shared" si="3"/>
        <v>85.241366225132239</v>
      </c>
    </row>
    <row r="39" spans="2:7" x14ac:dyDescent="0.2">
      <c r="B39" s="11">
        <f t="shared" si="4"/>
        <v>4500</v>
      </c>
      <c r="C39" s="7">
        <f t="shared" si="3"/>
        <v>24.891511836946702</v>
      </c>
      <c r="D39" s="7">
        <f t="shared" si="3"/>
        <v>41.345223051199604</v>
      </c>
      <c r="E39" s="7">
        <f t="shared" si="3"/>
        <v>58.691564752379584</v>
      </c>
      <c r="F39" s="7">
        <f t="shared" si="3"/>
        <v>78.059781120664852</v>
      </c>
      <c r="G39" s="7">
        <f t="shared" si="3"/>
        <v>95.896537003273778</v>
      </c>
    </row>
    <row r="40" spans="2:7" x14ac:dyDescent="0.2">
      <c r="B40" s="11">
        <f t="shared" si="4"/>
        <v>5000</v>
      </c>
      <c r="C40" s="7">
        <f t="shared" si="3"/>
        <v>27.657235374385216</v>
      </c>
      <c r="D40" s="7">
        <f t="shared" si="3"/>
        <v>45.939136723555109</v>
      </c>
      <c r="E40" s="7">
        <f t="shared" si="3"/>
        <v>65.212849724866189</v>
      </c>
      <c r="F40" s="7">
        <f t="shared" si="3"/>
        <v>86.733090134072043</v>
      </c>
      <c r="G40" s="7">
        <f t="shared" si="3"/>
        <v>106.55170778141529</v>
      </c>
    </row>
    <row r="41" spans="2:7" x14ac:dyDescent="0.2">
      <c r="B41" s="11">
        <f t="shared" si="4"/>
        <v>5500</v>
      </c>
      <c r="C41" s="7">
        <f t="shared" ref="C41:G46" si="5">$B41*60* $K$14/63360 / C$29</f>
        <v>30.422958911823741</v>
      </c>
      <c r="D41" s="7">
        <f t="shared" si="5"/>
        <v>50.533050395910621</v>
      </c>
      <c r="E41" s="7">
        <f t="shared" si="5"/>
        <v>71.734134697352815</v>
      </c>
      <c r="F41" s="7">
        <f t="shared" si="5"/>
        <v>95.406399147479249</v>
      </c>
      <c r="G41" s="7">
        <f t="shared" si="5"/>
        <v>117.20687855955681</v>
      </c>
    </row>
    <row r="42" spans="2:7" x14ac:dyDescent="0.2">
      <c r="B42" s="11">
        <f t="shared" si="4"/>
        <v>6000</v>
      </c>
      <c r="C42" s="7">
        <f t="shared" si="5"/>
        <v>33.188682449262267</v>
      </c>
      <c r="D42" s="7">
        <f t="shared" si="5"/>
        <v>55.12696406826614</v>
      </c>
      <c r="E42" s="7">
        <f t="shared" si="5"/>
        <v>78.255419669839441</v>
      </c>
      <c r="F42" s="7">
        <f t="shared" si="5"/>
        <v>104.07970816088647</v>
      </c>
      <c r="G42" s="7">
        <f t="shared" si="5"/>
        <v>127.86204933769837</v>
      </c>
    </row>
    <row r="43" spans="2:7" x14ac:dyDescent="0.2">
      <c r="B43" s="11">
        <f t="shared" si="4"/>
        <v>6500</v>
      </c>
      <c r="C43" s="7">
        <f t="shared" si="5"/>
        <v>35.954405986700792</v>
      </c>
      <c r="D43" s="7">
        <f t="shared" si="5"/>
        <v>59.720877740621653</v>
      </c>
      <c r="E43" s="7">
        <f t="shared" si="5"/>
        <v>84.776704642326067</v>
      </c>
      <c r="F43" s="7">
        <f t="shared" si="5"/>
        <v>112.75301717429367</v>
      </c>
      <c r="G43" s="7">
        <f t="shared" si="5"/>
        <v>138.5172201158399</v>
      </c>
    </row>
    <row r="44" spans="2:7" x14ac:dyDescent="0.2">
      <c r="B44" s="11">
        <f t="shared" si="4"/>
        <v>7000</v>
      </c>
      <c r="C44" s="7">
        <f t="shared" si="5"/>
        <v>38.72012952413931</v>
      </c>
      <c r="D44" s="7">
        <f t="shared" si="5"/>
        <v>64.314791412977172</v>
      </c>
      <c r="E44" s="7">
        <f t="shared" si="5"/>
        <v>91.297989614812678</v>
      </c>
      <c r="F44" s="7">
        <f t="shared" si="5"/>
        <v>121.42632618770088</v>
      </c>
      <c r="G44" s="7">
        <f t="shared" si="5"/>
        <v>149.17239089398143</v>
      </c>
    </row>
    <row r="45" spans="2:7" x14ac:dyDescent="0.2">
      <c r="B45" s="11">
        <f t="shared" si="4"/>
        <v>7500</v>
      </c>
      <c r="C45" s="7">
        <f t="shared" si="5"/>
        <v>41.485853061577835</v>
      </c>
      <c r="D45" s="7">
        <f t="shared" si="5"/>
        <v>68.908705085332684</v>
      </c>
      <c r="E45" s="7">
        <f t="shared" si="5"/>
        <v>97.819274587299304</v>
      </c>
      <c r="F45" s="7">
        <f t="shared" si="5"/>
        <v>130.09963520110807</v>
      </c>
      <c r="G45" s="7">
        <f t="shared" si="5"/>
        <v>159.82756167212295</v>
      </c>
    </row>
    <row r="46" spans="2:7" x14ac:dyDescent="0.2">
      <c r="B46" s="11">
        <f t="shared" si="4"/>
        <v>8000</v>
      </c>
      <c r="C46" s="7">
        <f t="shared" si="5"/>
        <v>44.251576599016353</v>
      </c>
      <c r="D46" s="7">
        <f t="shared" si="5"/>
        <v>73.502618757688197</v>
      </c>
      <c r="E46" s="7">
        <f t="shared" si="5"/>
        <v>104.34055955978593</v>
      </c>
      <c r="F46" s="7">
        <f t="shared" si="5"/>
        <v>138.77294421451529</v>
      </c>
      <c r="G46" s="7">
        <f t="shared" si="5"/>
        <v>170.48273245026448</v>
      </c>
    </row>
    <row r="49" spans="2:9" x14ac:dyDescent="0.2">
      <c r="B49" s="12" t="s">
        <v>40</v>
      </c>
      <c r="C49" s="12"/>
      <c r="D49" s="12" t="s">
        <v>3</v>
      </c>
      <c r="E49" s="12" t="s">
        <v>4</v>
      </c>
      <c r="F49" s="12" t="s">
        <v>5</v>
      </c>
      <c r="G49" s="12" t="s">
        <v>6</v>
      </c>
      <c r="H49" s="12" t="s">
        <v>7</v>
      </c>
      <c r="I49" s="12" t="s">
        <v>8</v>
      </c>
    </row>
    <row r="50" spans="2:9" x14ac:dyDescent="0.2">
      <c r="B50" s="11"/>
      <c r="C50" s="11" t="s">
        <v>38</v>
      </c>
      <c r="D50" s="31">
        <f>'Summary Sheet'!D7</f>
        <v>3.9</v>
      </c>
      <c r="E50" s="31">
        <f>'Summary Sheet'!D8</f>
        <v>3.1360000000000001</v>
      </c>
      <c r="F50" s="31">
        <f>'Summary Sheet'!D9</f>
        <v>1.8879999999999999</v>
      </c>
      <c r="G50" s="31">
        <f>'Summary Sheet'!D10</f>
        <v>1.33</v>
      </c>
      <c r="H50" s="31">
        <f>'Summary Sheet'!D11</f>
        <v>1</v>
      </c>
      <c r="I50" s="31">
        <f>'Summary Sheet'!D12</f>
        <v>0.81399999999999995</v>
      </c>
    </row>
    <row r="51" spans="2:9" x14ac:dyDescent="0.2">
      <c r="B51" s="11" t="s">
        <v>0</v>
      </c>
      <c r="C51" s="12" t="s">
        <v>39</v>
      </c>
      <c r="D51" s="31"/>
      <c r="E51" s="12" t="s">
        <v>4</v>
      </c>
      <c r="F51" s="12" t="s">
        <v>5</v>
      </c>
      <c r="G51" s="12" t="s">
        <v>6</v>
      </c>
      <c r="H51" s="12" t="s">
        <v>7</v>
      </c>
      <c r="I51" s="12" t="s">
        <v>8</v>
      </c>
    </row>
    <row r="52" spans="2:9" x14ac:dyDescent="0.2">
      <c r="B52" s="11">
        <f>B10</f>
        <v>500</v>
      </c>
      <c r="C52" s="7">
        <f>F10</f>
        <v>10</v>
      </c>
      <c r="D52" s="10">
        <f t="shared" ref="D52:D67" si="6">$C52*D$50</f>
        <v>39</v>
      </c>
      <c r="E52" s="10">
        <f t="shared" ref="E52:I61" si="7">E$50 * $D52</f>
        <v>122.304</v>
      </c>
      <c r="F52" s="10">
        <f t="shared" si="7"/>
        <v>73.631999999999991</v>
      </c>
      <c r="G52" s="10">
        <f t="shared" si="7"/>
        <v>51.870000000000005</v>
      </c>
      <c r="H52" s="10">
        <f t="shared" si="7"/>
        <v>39</v>
      </c>
      <c r="I52" s="10">
        <f t="shared" si="7"/>
        <v>31.745999999999999</v>
      </c>
    </row>
    <row r="53" spans="2:9" x14ac:dyDescent="0.2">
      <c r="B53" s="11">
        <f t="shared" ref="B53:B67" si="8">B11</f>
        <v>1000</v>
      </c>
      <c r="C53" s="7">
        <f t="shared" ref="C53:C67" si="9">F11</f>
        <v>30</v>
      </c>
      <c r="D53" s="10">
        <f t="shared" si="6"/>
        <v>117</v>
      </c>
      <c r="E53" s="10">
        <f t="shared" si="7"/>
        <v>366.91200000000003</v>
      </c>
      <c r="F53" s="10">
        <f t="shared" si="7"/>
        <v>220.89599999999999</v>
      </c>
      <c r="G53" s="10">
        <f t="shared" si="7"/>
        <v>155.61000000000001</v>
      </c>
      <c r="H53" s="10">
        <f t="shared" si="7"/>
        <v>117</v>
      </c>
      <c r="I53" s="10">
        <f t="shared" si="7"/>
        <v>95.238</v>
      </c>
    </row>
    <row r="54" spans="2:9" x14ac:dyDescent="0.2">
      <c r="B54" s="11">
        <f t="shared" si="8"/>
        <v>1500</v>
      </c>
      <c r="C54" s="7">
        <f t="shared" si="9"/>
        <v>50</v>
      </c>
      <c r="D54" s="10">
        <f t="shared" si="6"/>
        <v>195</v>
      </c>
      <c r="E54" s="10">
        <f t="shared" si="7"/>
        <v>611.52</v>
      </c>
      <c r="F54" s="10">
        <f t="shared" si="7"/>
        <v>368.15999999999997</v>
      </c>
      <c r="G54" s="10">
        <f t="shared" si="7"/>
        <v>259.35000000000002</v>
      </c>
      <c r="H54" s="10">
        <f t="shared" si="7"/>
        <v>195</v>
      </c>
      <c r="I54" s="10">
        <f t="shared" si="7"/>
        <v>158.72999999999999</v>
      </c>
    </row>
    <row r="55" spans="2:9" x14ac:dyDescent="0.2">
      <c r="B55" s="11">
        <f t="shared" si="8"/>
        <v>2000</v>
      </c>
      <c r="C55" s="7">
        <f t="shared" si="9"/>
        <v>75</v>
      </c>
      <c r="D55" s="10">
        <f t="shared" si="6"/>
        <v>292.5</v>
      </c>
      <c r="E55" s="10">
        <f t="shared" si="7"/>
        <v>917.28000000000009</v>
      </c>
      <c r="F55" s="10">
        <f t="shared" si="7"/>
        <v>552.24</v>
      </c>
      <c r="G55" s="10">
        <f t="shared" si="7"/>
        <v>389.02500000000003</v>
      </c>
      <c r="H55" s="10">
        <f t="shared" si="7"/>
        <v>292.5</v>
      </c>
      <c r="I55" s="10">
        <f t="shared" si="7"/>
        <v>238.09499999999997</v>
      </c>
    </row>
    <row r="56" spans="2:9" x14ac:dyDescent="0.2">
      <c r="B56" s="11">
        <f t="shared" si="8"/>
        <v>2500</v>
      </c>
      <c r="C56" s="7">
        <f t="shared" si="9"/>
        <v>100</v>
      </c>
      <c r="D56" s="10">
        <f t="shared" si="6"/>
        <v>390</v>
      </c>
      <c r="E56" s="10">
        <f t="shared" si="7"/>
        <v>1223.04</v>
      </c>
      <c r="F56" s="10">
        <f t="shared" si="7"/>
        <v>736.31999999999994</v>
      </c>
      <c r="G56" s="10">
        <f t="shared" si="7"/>
        <v>518.70000000000005</v>
      </c>
      <c r="H56" s="10">
        <f t="shared" si="7"/>
        <v>390</v>
      </c>
      <c r="I56" s="10">
        <f t="shared" si="7"/>
        <v>317.45999999999998</v>
      </c>
    </row>
    <row r="57" spans="2:9" x14ac:dyDescent="0.2">
      <c r="B57" s="11">
        <f t="shared" si="8"/>
        <v>3000</v>
      </c>
      <c r="C57" s="7">
        <f t="shared" si="9"/>
        <v>115</v>
      </c>
      <c r="D57" s="10">
        <f t="shared" si="6"/>
        <v>448.5</v>
      </c>
      <c r="E57" s="10">
        <f t="shared" si="7"/>
        <v>1406.4960000000001</v>
      </c>
      <c r="F57" s="10">
        <f t="shared" si="7"/>
        <v>846.76799999999992</v>
      </c>
      <c r="G57" s="10">
        <f t="shared" si="7"/>
        <v>596.505</v>
      </c>
      <c r="H57" s="10">
        <f t="shared" si="7"/>
        <v>448.5</v>
      </c>
      <c r="I57" s="10">
        <f t="shared" si="7"/>
        <v>365.07899999999995</v>
      </c>
    </row>
    <row r="58" spans="2:9" x14ac:dyDescent="0.2">
      <c r="B58" s="11">
        <f t="shared" si="8"/>
        <v>3500</v>
      </c>
      <c r="C58" s="7">
        <f t="shared" si="9"/>
        <v>124</v>
      </c>
      <c r="D58" s="10">
        <f t="shared" si="6"/>
        <v>483.59999999999997</v>
      </c>
      <c r="E58" s="10">
        <f t="shared" si="7"/>
        <v>1516.5696</v>
      </c>
      <c r="F58" s="10">
        <f t="shared" si="7"/>
        <v>913.03679999999986</v>
      </c>
      <c r="G58" s="10">
        <f t="shared" si="7"/>
        <v>643.18799999999999</v>
      </c>
      <c r="H58" s="10">
        <f t="shared" si="7"/>
        <v>483.59999999999997</v>
      </c>
      <c r="I58" s="10">
        <f t="shared" si="7"/>
        <v>393.65039999999993</v>
      </c>
    </row>
    <row r="59" spans="2:9" x14ac:dyDescent="0.2">
      <c r="B59" s="11">
        <f t="shared" si="8"/>
        <v>4000</v>
      </c>
      <c r="C59" s="7">
        <f t="shared" si="9"/>
        <v>135</v>
      </c>
      <c r="D59" s="10">
        <f t="shared" si="6"/>
        <v>526.5</v>
      </c>
      <c r="E59" s="10">
        <f t="shared" si="7"/>
        <v>1651.104</v>
      </c>
      <c r="F59" s="10">
        <f t="shared" si="7"/>
        <v>994.03199999999993</v>
      </c>
      <c r="G59" s="10">
        <f t="shared" si="7"/>
        <v>700.245</v>
      </c>
      <c r="H59" s="10">
        <f t="shared" si="7"/>
        <v>526.5</v>
      </c>
      <c r="I59" s="10">
        <f t="shared" si="7"/>
        <v>428.57099999999997</v>
      </c>
    </row>
    <row r="60" spans="2:9" x14ac:dyDescent="0.2">
      <c r="B60" s="11">
        <f t="shared" si="8"/>
        <v>4500</v>
      </c>
      <c r="C60" s="7">
        <f t="shared" si="9"/>
        <v>140</v>
      </c>
      <c r="D60" s="10">
        <f t="shared" si="6"/>
        <v>546</v>
      </c>
      <c r="E60" s="10">
        <f t="shared" si="7"/>
        <v>1712.2560000000001</v>
      </c>
      <c r="F60" s="10">
        <f t="shared" si="7"/>
        <v>1030.848</v>
      </c>
      <c r="G60" s="10">
        <f t="shared" si="7"/>
        <v>726.18000000000006</v>
      </c>
      <c r="H60" s="10">
        <f t="shared" si="7"/>
        <v>546</v>
      </c>
      <c r="I60" s="10">
        <f t="shared" si="7"/>
        <v>444.44399999999996</v>
      </c>
    </row>
    <row r="61" spans="2:9" x14ac:dyDescent="0.2">
      <c r="B61" s="11">
        <f t="shared" si="8"/>
        <v>5000</v>
      </c>
      <c r="C61" s="7">
        <f t="shared" si="9"/>
        <v>140</v>
      </c>
      <c r="D61" s="10">
        <f t="shared" si="6"/>
        <v>546</v>
      </c>
      <c r="E61" s="10">
        <f t="shared" si="7"/>
        <v>1712.2560000000001</v>
      </c>
      <c r="F61" s="10">
        <f t="shared" si="7"/>
        <v>1030.848</v>
      </c>
      <c r="G61" s="10">
        <f t="shared" si="7"/>
        <v>726.18000000000006</v>
      </c>
      <c r="H61" s="10">
        <f t="shared" si="7"/>
        <v>546</v>
      </c>
      <c r="I61" s="10">
        <f t="shared" si="7"/>
        <v>444.44399999999996</v>
      </c>
    </row>
    <row r="62" spans="2:9" x14ac:dyDescent="0.2">
      <c r="B62" s="11">
        <f t="shared" si="8"/>
        <v>5500</v>
      </c>
      <c r="C62" s="7">
        <f t="shared" si="9"/>
        <v>133</v>
      </c>
      <c r="D62" s="10">
        <f t="shared" si="6"/>
        <v>518.69999999999993</v>
      </c>
      <c r="E62" s="10">
        <f t="shared" ref="E62:I67" si="10">E$50 * $D62</f>
        <v>1626.6431999999998</v>
      </c>
      <c r="F62" s="10">
        <f t="shared" si="10"/>
        <v>979.3055999999998</v>
      </c>
      <c r="G62" s="10">
        <f t="shared" si="10"/>
        <v>689.87099999999998</v>
      </c>
      <c r="H62" s="10">
        <f t="shared" si="10"/>
        <v>518.69999999999993</v>
      </c>
      <c r="I62" s="10">
        <f t="shared" si="10"/>
        <v>422.22179999999992</v>
      </c>
    </row>
    <row r="63" spans="2:9" x14ac:dyDescent="0.2">
      <c r="B63" s="11">
        <f t="shared" si="8"/>
        <v>6000</v>
      </c>
      <c r="C63" s="7">
        <f t="shared" si="9"/>
        <v>122</v>
      </c>
      <c r="D63" s="10">
        <f t="shared" si="6"/>
        <v>475.8</v>
      </c>
      <c r="E63" s="10">
        <f t="shared" si="10"/>
        <v>1492.1088000000002</v>
      </c>
      <c r="F63" s="10">
        <f t="shared" si="10"/>
        <v>898.31039999999996</v>
      </c>
      <c r="G63" s="10">
        <f t="shared" si="10"/>
        <v>632.81400000000008</v>
      </c>
      <c r="H63" s="10">
        <f t="shared" si="10"/>
        <v>475.8</v>
      </c>
      <c r="I63" s="10">
        <f t="shared" si="10"/>
        <v>387.30119999999999</v>
      </c>
    </row>
    <row r="64" spans="2:9" x14ac:dyDescent="0.2">
      <c r="B64" s="11">
        <f t="shared" si="8"/>
        <v>6500</v>
      </c>
      <c r="C64" s="7">
        <f t="shared" si="9"/>
        <v>110</v>
      </c>
      <c r="D64" s="10">
        <f t="shared" si="6"/>
        <v>429</v>
      </c>
      <c r="E64" s="10">
        <f t="shared" si="10"/>
        <v>1345.3440000000001</v>
      </c>
      <c r="F64" s="10">
        <f t="shared" si="10"/>
        <v>809.952</v>
      </c>
      <c r="G64" s="10">
        <f t="shared" si="10"/>
        <v>570.57000000000005</v>
      </c>
      <c r="H64" s="10">
        <f t="shared" si="10"/>
        <v>429</v>
      </c>
      <c r="I64" s="10">
        <f t="shared" si="10"/>
        <v>349.20599999999996</v>
      </c>
    </row>
    <row r="65" spans="2:11" x14ac:dyDescent="0.2">
      <c r="B65" s="11">
        <f t="shared" si="8"/>
        <v>7000</v>
      </c>
      <c r="C65" s="7">
        <f t="shared" si="9"/>
        <v>100</v>
      </c>
      <c r="D65" s="10">
        <f t="shared" si="6"/>
        <v>390</v>
      </c>
      <c r="E65" s="10">
        <f t="shared" si="10"/>
        <v>1223.04</v>
      </c>
      <c r="F65" s="10">
        <f t="shared" si="10"/>
        <v>736.31999999999994</v>
      </c>
      <c r="G65" s="10">
        <f t="shared" si="10"/>
        <v>518.70000000000005</v>
      </c>
      <c r="H65" s="10">
        <f t="shared" si="10"/>
        <v>390</v>
      </c>
      <c r="I65" s="10">
        <f t="shared" si="10"/>
        <v>317.45999999999998</v>
      </c>
    </row>
    <row r="66" spans="2:11" x14ac:dyDescent="0.2">
      <c r="B66" s="11">
        <f t="shared" si="8"/>
        <v>7500</v>
      </c>
      <c r="C66" s="7">
        <f t="shared" si="9"/>
        <v>90</v>
      </c>
      <c r="D66" s="10">
        <f t="shared" si="6"/>
        <v>351</v>
      </c>
      <c r="E66" s="10">
        <f t="shared" si="10"/>
        <v>1100.7360000000001</v>
      </c>
      <c r="F66" s="10">
        <f t="shared" si="10"/>
        <v>662.68799999999999</v>
      </c>
      <c r="G66" s="10">
        <f t="shared" si="10"/>
        <v>466.83000000000004</v>
      </c>
      <c r="H66" s="10">
        <f t="shared" si="10"/>
        <v>351</v>
      </c>
      <c r="I66" s="10">
        <f t="shared" si="10"/>
        <v>285.714</v>
      </c>
    </row>
    <row r="67" spans="2:11" x14ac:dyDescent="0.2">
      <c r="B67" s="11">
        <f t="shared" si="8"/>
        <v>8000</v>
      </c>
      <c r="C67" s="7">
        <f t="shared" si="9"/>
        <v>80</v>
      </c>
      <c r="D67" s="10">
        <f t="shared" si="6"/>
        <v>312</v>
      </c>
      <c r="E67" s="10">
        <f t="shared" si="10"/>
        <v>978.43200000000002</v>
      </c>
      <c r="F67" s="10">
        <f t="shared" si="10"/>
        <v>589.05599999999993</v>
      </c>
      <c r="G67" s="10">
        <f t="shared" si="10"/>
        <v>414.96000000000004</v>
      </c>
      <c r="H67" s="10">
        <f t="shared" si="10"/>
        <v>312</v>
      </c>
      <c r="I67" s="10">
        <f t="shared" si="10"/>
        <v>253.96799999999999</v>
      </c>
    </row>
    <row r="70" spans="2:11" x14ac:dyDescent="0.2">
      <c r="E70" s="6"/>
    </row>
    <row r="71" spans="2:11" x14ac:dyDescent="0.2">
      <c r="B71" s="41" t="s">
        <v>4</v>
      </c>
      <c r="C71" s="41"/>
      <c r="D71" s="42" t="s">
        <v>5</v>
      </c>
      <c r="E71" s="42"/>
      <c r="F71" s="41" t="s">
        <v>6</v>
      </c>
      <c r="G71" s="41"/>
      <c r="H71" s="42" t="s">
        <v>7</v>
      </c>
      <c r="I71" s="42"/>
      <c r="J71" s="41" t="s">
        <v>8</v>
      </c>
      <c r="K71" s="41"/>
    </row>
    <row r="72" spans="2:11" x14ac:dyDescent="0.2">
      <c r="B72" s="7">
        <f t="shared" ref="B72:B87" si="11">C31</f>
        <v>2.7657235374385221</v>
      </c>
      <c r="C72" s="10">
        <f t="shared" ref="C72:C87" si="12">E52</f>
        <v>122.304</v>
      </c>
      <c r="D72" s="32">
        <f t="shared" ref="D72:D87" si="13">D31</f>
        <v>4.5939136723555123</v>
      </c>
      <c r="E72" s="33">
        <f t="shared" ref="E72:E87" si="14">F52</f>
        <v>73.631999999999991</v>
      </c>
      <c r="F72" s="7">
        <f t="shared" ref="F72:F87" si="15">E31</f>
        <v>6.5212849724866206</v>
      </c>
      <c r="G72" s="10">
        <f t="shared" ref="G72:G87" si="16">G52</f>
        <v>51.870000000000005</v>
      </c>
      <c r="H72" s="32">
        <f t="shared" ref="H72:H87" si="17">F31</f>
        <v>8.6733090134072057</v>
      </c>
      <c r="I72" s="33">
        <f t="shared" ref="I72:I87" si="18">H52</f>
        <v>39</v>
      </c>
      <c r="J72" s="7">
        <f t="shared" ref="J72:J87" si="19">G31</f>
        <v>10.65517077814153</v>
      </c>
      <c r="K72" s="10">
        <f t="shared" ref="K72:K87" si="20">I52</f>
        <v>31.745999999999999</v>
      </c>
    </row>
    <row r="73" spans="2:11" x14ac:dyDescent="0.2">
      <c r="B73" s="7">
        <f t="shared" si="11"/>
        <v>5.5314470748770441</v>
      </c>
      <c r="C73" s="10">
        <f t="shared" si="12"/>
        <v>366.91200000000003</v>
      </c>
      <c r="D73" s="32">
        <f t="shared" si="13"/>
        <v>9.1878273447110246</v>
      </c>
      <c r="E73" s="33">
        <f t="shared" si="14"/>
        <v>220.89599999999999</v>
      </c>
      <c r="F73" s="7">
        <f t="shared" si="15"/>
        <v>13.042569944973241</v>
      </c>
      <c r="G73" s="10">
        <f t="shared" si="16"/>
        <v>155.61000000000001</v>
      </c>
      <c r="H73" s="32">
        <f t="shared" si="17"/>
        <v>17.346618026814411</v>
      </c>
      <c r="I73" s="33">
        <f t="shared" si="18"/>
        <v>117</v>
      </c>
      <c r="J73" s="7">
        <f t="shared" si="19"/>
        <v>21.31034155628306</v>
      </c>
      <c r="K73" s="10">
        <f t="shared" si="20"/>
        <v>95.238</v>
      </c>
    </row>
    <row r="74" spans="2:11" x14ac:dyDescent="0.2">
      <c r="B74" s="7">
        <f t="shared" si="11"/>
        <v>8.2971706123155666</v>
      </c>
      <c r="C74" s="10">
        <f t="shared" si="12"/>
        <v>611.52</v>
      </c>
      <c r="D74" s="32">
        <f t="shared" si="13"/>
        <v>13.781741017066535</v>
      </c>
      <c r="E74" s="33">
        <f t="shared" si="14"/>
        <v>368.15999999999997</v>
      </c>
      <c r="F74" s="7">
        <f t="shared" si="15"/>
        <v>19.56385491745986</v>
      </c>
      <c r="G74" s="10">
        <f t="shared" si="16"/>
        <v>259.35000000000002</v>
      </c>
      <c r="H74" s="32">
        <f t="shared" si="17"/>
        <v>26.019927040221617</v>
      </c>
      <c r="I74" s="33">
        <f t="shared" si="18"/>
        <v>195</v>
      </c>
      <c r="J74" s="7">
        <f t="shared" si="19"/>
        <v>31.965512334424592</v>
      </c>
      <c r="K74" s="10">
        <f t="shared" si="20"/>
        <v>158.72999999999999</v>
      </c>
    </row>
    <row r="75" spans="2:11" x14ac:dyDescent="0.2">
      <c r="B75" s="7">
        <f t="shared" si="11"/>
        <v>11.062894149754088</v>
      </c>
      <c r="C75" s="10">
        <f t="shared" si="12"/>
        <v>917.28000000000009</v>
      </c>
      <c r="D75" s="32">
        <f t="shared" si="13"/>
        <v>18.375654689422049</v>
      </c>
      <c r="E75" s="33">
        <f t="shared" si="14"/>
        <v>552.24</v>
      </c>
      <c r="F75" s="7">
        <f t="shared" si="15"/>
        <v>26.085139889946483</v>
      </c>
      <c r="G75" s="10">
        <f t="shared" si="16"/>
        <v>389.02500000000003</v>
      </c>
      <c r="H75" s="32">
        <f t="shared" si="17"/>
        <v>34.693236053628823</v>
      </c>
      <c r="I75" s="33">
        <f t="shared" si="18"/>
        <v>292.5</v>
      </c>
      <c r="J75" s="7">
        <f t="shared" si="19"/>
        <v>42.62068311256612</v>
      </c>
      <c r="K75" s="10">
        <f t="shared" si="20"/>
        <v>238.09499999999997</v>
      </c>
    </row>
    <row r="76" spans="2:11" x14ac:dyDescent="0.2">
      <c r="B76" s="7">
        <f t="shared" si="11"/>
        <v>13.828617687192608</v>
      </c>
      <c r="C76" s="10">
        <f t="shared" si="12"/>
        <v>1223.04</v>
      </c>
      <c r="D76" s="32">
        <f t="shared" si="13"/>
        <v>22.969568361777554</v>
      </c>
      <c r="E76" s="33">
        <f t="shared" si="14"/>
        <v>736.31999999999994</v>
      </c>
      <c r="F76" s="7">
        <f t="shared" si="15"/>
        <v>32.606424862433094</v>
      </c>
      <c r="G76" s="10">
        <f t="shared" si="16"/>
        <v>518.70000000000005</v>
      </c>
      <c r="H76" s="32">
        <f t="shared" si="17"/>
        <v>43.366545067036022</v>
      </c>
      <c r="I76" s="33">
        <f t="shared" si="18"/>
        <v>390</v>
      </c>
      <c r="J76" s="7">
        <f t="shared" si="19"/>
        <v>53.275853890707644</v>
      </c>
      <c r="K76" s="10">
        <f t="shared" si="20"/>
        <v>317.45999999999998</v>
      </c>
    </row>
    <row r="77" spans="2:11" x14ac:dyDescent="0.2">
      <c r="B77" s="7">
        <f t="shared" si="11"/>
        <v>16.594341224631133</v>
      </c>
      <c r="C77" s="10">
        <f t="shared" si="12"/>
        <v>1406.4960000000001</v>
      </c>
      <c r="D77" s="32">
        <f t="shared" si="13"/>
        <v>27.56348203413307</v>
      </c>
      <c r="E77" s="33">
        <f t="shared" si="14"/>
        <v>846.76799999999992</v>
      </c>
      <c r="F77" s="7">
        <f t="shared" si="15"/>
        <v>39.12770983491972</v>
      </c>
      <c r="G77" s="10">
        <f t="shared" si="16"/>
        <v>596.505</v>
      </c>
      <c r="H77" s="32">
        <f t="shared" si="17"/>
        <v>52.039854080443234</v>
      </c>
      <c r="I77" s="33">
        <f t="shared" si="18"/>
        <v>448.5</v>
      </c>
      <c r="J77" s="7">
        <f t="shared" si="19"/>
        <v>63.931024668849183</v>
      </c>
      <c r="K77" s="10">
        <f t="shared" si="20"/>
        <v>365.07899999999995</v>
      </c>
    </row>
    <row r="78" spans="2:11" x14ac:dyDescent="0.2">
      <c r="B78" s="7">
        <f t="shared" si="11"/>
        <v>19.360064762069655</v>
      </c>
      <c r="C78" s="10">
        <f t="shared" si="12"/>
        <v>1516.5696</v>
      </c>
      <c r="D78" s="32">
        <f t="shared" si="13"/>
        <v>32.157395706488586</v>
      </c>
      <c r="E78" s="33">
        <f t="shared" si="14"/>
        <v>913.03679999999986</v>
      </c>
      <c r="F78" s="7">
        <f t="shared" si="15"/>
        <v>45.648994807406339</v>
      </c>
      <c r="G78" s="10">
        <f t="shared" si="16"/>
        <v>643.18799999999999</v>
      </c>
      <c r="H78" s="32">
        <f t="shared" si="17"/>
        <v>60.71316309385044</v>
      </c>
      <c r="I78" s="33">
        <f t="shared" si="18"/>
        <v>483.59999999999997</v>
      </c>
      <c r="J78" s="7">
        <f t="shared" si="19"/>
        <v>74.586195446990715</v>
      </c>
      <c r="K78" s="10">
        <f t="shared" si="20"/>
        <v>393.65039999999993</v>
      </c>
    </row>
    <row r="79" spans="2:11" x14ac:dyDescent="0.2">
      <c r="B79" s="7">
        <f t="shared" si="11"/>
        <v>22.125788299508176</v>
      </c>
      <c r="C79" s="10">
        <f t="shared" si="12"/>
        <v>1651.104</v>
      </c>
      <c r="D79" s="32">
        <f t="shared" si="13"/>
        <v>36.751309378844098</v>
      </c>
      <c r="E79" s="33">
        <f t="shared" si="14"/>
        <v>994.03199999999993</v>
      </c>
      <c r="F79" s="7">
        <f t="shared" si="15"/>
        <v>52.170279779892965</v>
      </c>
      <c r="G79" s="10">
        <f t="shared" si="16"/>
        <v>700.245</v>
      </c>
      <c r="H79" s="32">
        <f t="shared" si="17"/>
        <v>69.386472107257646</v>
      </c>
      <c r="I79" s="33">
        <f t="shared" si="18"/>
        <v>526.5</v>
      </c>
      <c r="J79" s="7">
        <f t="shared" si="19"/>
        <v>85.241366225132239</v>
      </c>
      <c r="K79" s="10">
        <f t="shared" si="20"/>
        <v>428.57099999999997</v>
      </c>
    </row>
    <row r="80" spans="2:11" x14ac:dyDescent="0.2">
      <c r="B80" s="7">
        <f t="shared" si="11"/>
        <v>24.891511836946702</v>
      </c>
      <c r="C80" s="10">
        <f t="shared" si="12"/>
        <v>1712.2560000000001</v>
      </c>
      <c r="D80" s="32">
        <f t="shared" si="13"/>
        <v>41.345223051199604</v>
      </c>
      <c r="E80" s="33">
        <f t="shared" si="14"/>
        <v>1030.848</v>
      </c>
      <c r="F80" s="7">
        <f t="shared" si="15"/>
        <v>58.691564752379584</v>
      </c>
      <c r="G80" s="10">
        <f t="shared" si="16"/>
        <v>726.18000000000006</v>
      </c>
      <c r="H80" s="32">
        <f t="shared" si="17"/>
        <v>78.059781120664852</v>
      </c>
      <c r="I80" s="33">
        <f t="shared" si="18"/>
        <v>546</v>
      </c>
      <c r="J80" s="7">
        <f t="shared" si="19"/>
        <v>95.896537003273778</v>
      </c>
      <c r="K80" s="10">
        <f t="shared" si="20"/>
        <v>444.44399999999996</v>
      </c>
    </row>
    <row r="81" spans="2:11" x14ac:dyDescent="0.2">
      <c r="B81" s="7">
        <f t="shared" si="11"/>
        <v>27.657235374385216</v>
      </c>
      <c r="C81" s="10">
        <f t="shared" si="12"/>
        <v>1712.2560000000001</v>
      </c>
      <c r="D81" s="32">
        <f t="shared" si="13"/>
        <v>45.939136723555109</v>
      </c>
      <c r="E81" s="33">
        <f t="shared" si="14"/>
        <v>1030.848</v>
      </c>
      <c r="F81" s="7">
        <f t="shared" si="15"/>
        <v>65.212849724866189</v>
      </c>
      <c r="G81" s="10">
        <f t="shared" si="16"/>
        <v>726.18000000000006</v>
      </c>
      <c r="H81" s="32">
        <f t="shared" si="17"/>
        <v>86.733090134072043</v>
      </c>
      <c r="I81" s="33">
        <f t="shared" si="18"/>
        <v>546</v>
      </c>
      <c r="J81" s="7">
        <f t="shared" si="19"/>
        <v>106.55170778141529</v>
      </c>
      <c r="K81" s="10">
        <f t="shared" si="20"/>
        <v>444.44399999999996</v>
      </c>
    </row>
    <row r="82" spans="2:11" x14ac:dyDescent="0.2">
      <c r="B82" s="7">
        <f t="shared" si="11"/>
        <v>30.422958911823741</v>
      </c>
      <c r="C82" s="10">
        <f t="shared" si="12"/>
        <v>1626.6431999999998</v>
      </c>
      <c r="D82" s="32">
        <f t="shared" si="13"/>
        <v>50.533050395910621</v>
      </c>
      <c r="E82" s="33">
        <f t="shared" si="14"/>
        <v>979.3055999999998</v>
      </c>
      <c r="F82" s="7">
        <f t="shared" si="15"/>
        <v>71.734134697352815</v>
      </c>
      <c r="G82" s="10">
        <f t="shared" si="16"/>
        <v>689.87099999999998</v>
      </c>
      <c r="H82" s="32">
        <f t="shared" si="17"/>
        <v>95.406399147479249</v>
      </c>
      <c r="I82" s="33">
        <f t="shared" si="18"/>
        <v>518.69999999999993</v>
      </c>
      <c r="J82" s="7">
        <f t="shared" si="19"/>
        <v>117.20687855955681</v>
      </c>
      <c r="K82" s="10">
        <f t="shared" si="20"/>
        <v>422.22179999999992</v>
      </c>
    </row>
    <row r="83" spans="2:11" x14ac:dyDescent="0.2">
      <c r="B83" s="7">
        <f t="shared" si="11"/>
        <v>33.188682449262267</v>
      </c>
      <c r="C83" s="10">
        <f t="shared" si="12"/>
        <v>1492.1088000000002</v>
      </c>
      <c r="D83" s="32">
        <f t="shared" si="13"/>
        <v>55.12696406826614</v>
      </c>
      <c r="E83" s="33">
        <f t="shared" si="14"/>
        <v>898.31039999999996</v>
      </c>
      <c r="F83" s="7">
        <f t="shared" si="15"/>
        <v>78.255419669839441</v>
      </c>
      <c r="G83" s="10">
        <f t="shared" si="16"/>
        <v>632.81400000000008</v>
      </c>
      <c r="H83" s="32">
        <f t="shared" si="17"/>
        <v>104.07970816088647</v>
      </c>
      <c r="I83" s="33">
        <f t="shared" si="18"/>
        <v>475.8</v>
      </c>
      <c r="J83" s="7">
        <f t="shared" si="19"/>
        <v>127.86204933769837</v>
      </c>
      <c r="K83" s="10">
        <f t="shared" si="20"/>
        <v>387.30119999999999</v>
      </c>
    </row>
    <row r="84" spans="2:11" x14ac:dyDescent="0.2">
      <c r="B84" s="7">
        <f t="shared" si="11"/>
        <v>35.954405986700792</v>
      </c>
      <c r="C84" s="10">
        <f t="shared" si="12"/>
        <v>1345.3440000000001</v>
      </c>
      <c r="D84" s="32">
        <f t="shared" si="13"/>
        <v>59.720877740621653</v>
      </c>
      <c r="E84" s="33">
        <f t="shared" si="14"/>
        <v>809.952</v>
      </c>
      <c r="F84" s="7">
        <f t="shared" si="15"/>
        <v>84.776704642326067</v>
      </c>
      <c r="G84" s="10">
        <f t="shared" si="16"/>
        <v>570.57000000000005</v>
      </c>
      <c r="H84" s="32">
        <f t="shared" si="17"/>
        <v>112.75301717429367</v>
      </c>
      <c r="I84" s="33">
        <f t="shared" si="18"/>
        <v>429</v>
      </c>
      <c r="J84" s="7">
        <f t="shared" si="19"/>
        <v>138.5172201158399</v>
      </c>
      <c r="K84" s="10">
        <f t="shared" si="20"/>
        <v>349.20599999999996</v>
      </c>
    </row>
    <row r="85" spans="2:11" x14ac:dyDescent="0.2">
      <c r="B85" s="7">
        <f t="shared" si="11"/>
        <v>38.72012952413931</v>
      </c>
      <c r="C85" s="10">
        <f t="shared" si="12"/>
        <v>1223.04</v>
      </c>
      <c r="D85" s="32">
        <f t="shared" si="13"/>
        <v>64.314791412977172</v>
      </c>
      <c r="E85" s="33">
        <f t="shared" si="14"/>
        <v>736.31999999999994</v>
      </c>
      <c r="F85" s="7">
        <f t="shared" si="15"/>
        <v>91.297989614812678</v>
      </c>
      <c r="G85" s="10">
        <f t="shared" si="16"/>
        <v>518.70000000000005</v>
      </c>
      <c r="H85" s="32">
        <f t="shared" si="17"/>
        <v>121.42632618770088</v>
      </c>
      <c r="I85" s="33">
        <f t="shared" si="18"/>
        <v>390</v>
      </c>
      <c r="J85" s="7">
        <f t="shared" si="19"/>
        <v>149.17239089398143</v>
      </c>
      <c r="K85" s="10">
        <f t="shared" si="20"/>
        <v>317.45999999999998</v>
      </c>
    </row>
    <row r="86" spans="2:11" x14ac:dyDescent="0.2">
      <c r="B86" s="7">
        <f t="shared" si="11"/>
        <v>41.485853061577835</v>
      </c>
      <c r="C86" s="10">
        <f t="shared" si="12"/>
        <v>1100.7360000000001</v>
      </c>
      <c r="D86" s="32">
        <f t="shared" si="13"/>
        <v>68.908705085332684</v>
      </c>
      <c r="E86" s="33">
        <f t="shared" si="14"/>
        <v>662.68799999999999</v>
      </c>
      <c r="F86" s="7">
        <f t="shared" si="15"/>
        <v>97.819274587299304</v>
      </c>
      <c r="G86" s="10">
        <f t="shared" si="16"/>
        <v>466.83000000000004</v>
      </c>
      <c r="H86" s="32">
        <f t="shared" si="17"/>
        <v>130.09963520110807</v>
      </c>
      <c r="I86" s="33">
        <f t="shared" si="18"/>
        <v>351</v>
      </c>
      <c r="J86" s="7">
        <f t="shared" si="19"/>
        <v>159.82756167212295</v>
      </c>
      <c r="K86" s="10">
        <f t="shared" si="20"/>
        <v>285.714</v>
      </c>
    </row>
    <row r="87" spans="2:11" x14ac:dyDescent="0.2">
      <c r="B87" s="7">
        <f t="shared" si="11"/>
        <v>44.251576599016353</v>
      </c>
      <c r="C87" s="10">
        <f t="shared" si="12"/>
        <v>978.43200000000002</v>
      </c>
      <c r="D87" s="32">
        <f t="shared" si="13"/>
        <v>73.502618757688197</v>
      </c>
      <c r="E87" s="33">
        <f t="shared" si="14"/>
        <v>589.05599999999993</v>
      </c>
      <c r="F87" s="7">
        <f t="shared" si="15"/>
        <v>104.34055955978593</v>
      </c>
      <c r="G87" s="10">
        <f t="shared" si="16"/>
        <v>414.96000000000004</v>
      </c>
      <c r="H87" s="32">
        <f t="shared" si="17"/>
        <v>138.77294421451529</v>
      </c>
      <c r="I87" s="33">
        <f t="shared" si="18"/>
        <v>312</v>
      </c>
      <c r="J87" s="7">
        <f t="shared" si="19"/>
        <v>170.48273245026448</v>
      </c>
      <c r="K87" s="10">
        <f t="shared" si="20"/>
        <v>253.96799999999999</v>
      </c>
    </row>
    <row r="90" spans="2:11" ht="16" customHeight="1" x14ac:dyDescent="0.2">
      <c r="B90" s="12" t="s">
        <v>4</v>
      </c>
      <c r="C90" s="12" t="s">
        <v>5</v>
      </c>
      <c r="D90" s="12" t="s">
        <v>6</v>
      </c>
      <c r="E90" s="12" t="s">
        <v>7</v>
      </c>
      <c r="F90" s="12" t="s">
        <v>8</v>
      </c>
    </row>
    <row r="91" spans="2:11" x14ac:dyDescent="0.2">
      <c r="B91" s="5"/>
      <c r="C91" s="5"/>
      <c r="D91" s="5"/>
      <c r="E91" s="5"/>
      <c r="F91" s="5"/>
    </row>
    <row r="92" spans="2:11" x14ac:dyDescent="0.2">
      <c r="B92" s="8" t="str">
        <f>IFERROR(Intersectcomplex(B72,C72,B73,C73,GEAR2,TRUE),"")</f>
        <v/>
      </c>
      <c r="C92" s="8" t="str">
        <f>IFERROR(Intersectcomplex(D72,E72,D73,E73,GEAR3,TRUE),"")</f>
        <v/>
      </c>
      <c r="D92" s="8" t="str">
        <f>IFERROR(Intersectcomplex(F72,G72,F73,G73,GEAR4,TRUE),"")</f>
        <v/>
      </c>
      <c r="E92" s="8" t="str">
        <f>IFERROR(Intersectcomplex(H72,I72,H73,I73,GEAR5,TRUE),"")</f>
        <v/>
      </c>
      <c r="F92" s="5"/>
    </row>
    <row r="93" spans="2:11" x14ac:dyDescent="0.2">
      <c r="B93" s="8" t="str">
        <f>IFERROR(Intersectcomplex(B73,C73,B74,C74,GEAR2,TRUE),"")</f>
        <v/>
      </c>
      <c r="C93" s="8" t="str">
        <f>IFERROR(Intersectcomplex(D73,E73,D74,E74,GEAR3,TRUE),"")</f>
        <v/>
      </c>
      <c r="D93" s="8" t="str">
        <f>IFERROR(Intersectcomplex(F73,G73,F74,G74,GEAR4,TRUE),"")</f>
        <v/>
      </c>
      <c r="E93" s="8" t="str">
        <f>IFERROR(Intersectcomplex(H73,I73,H74,I74,GEAR5,TRUE),"")</f>
        <v/>
      </c>
      <c r="F93" s="5"/>
    </row>
    <row r="94" spans="2:11" x14ac:dyDescent="0.2">
      <c r="B94" s="8" t="str">
        <f>IFERROR(Intersectcomplex(B74,C74,B75,C75,GEAR2,TRUE),"")</f>
        <v/>
      </c>
      <c r="C94" s="8" t="str">
        <f>IFERROR(Intersectcomplex(D74,E74,D75,E75,GEAR3,TRUE),"")</f>
        <v/>
      </c>
      <c r="D94" s="8" t="str">
        <f>IFERROR(Intersectcomplex(F74,G74,F75,G75,GEAR4,TRUE),"")</f>
        <v/>
      </c>
      <c r="E94" s="8" t="str">
        <f>IFERROR(Intersectcomplex(H74,I74,H75,I75,GEAR5,TRUE),"")</f>
        <v/>
      </c>
      <c r="F94" s="5"/>
    </row>
    <row r="95" spans="2:11" x14ac:dyDescent="0.2">
      <c r="B95" s="8" t="str">
        <f>IFERROR(Intersectcomplex(B75,C75,B76,C76,GEAR2,TRUE),"")</f>
        <v/>
      </c>
      <c r="C95" s="8" t="str">
        <f>IFERROR(Intersectcomplex(D75,E75,D76,E76,GEAR3,TRUE),"")</f>
        <v/>
      </c>
      <c r="D95" s="8" t="str">
        <f>IFERROR(Intersectcomplex(F75,G75,F76,G76,GEAR4,TRUE),"")</f>
        <v/>
      </c>
      <c r="E95" s="8" t="str">
        <f>IFERROR(Intersectcomplex(H75,I75,H76,I76,GEAR5,TRUE),"")</f>
        <v/>
      </c>
      <c r="F95" s="5"/>
    </row>
    <row r="96" spans="2:11" x14ac:dyDescent="0.2">
      <c r="B96" s="8" t="str">
        <f>IFERROR(Intersectcomplex(B76,C76,B77,C77,GEAR2,TRUE),"")</f>
        <v/>
      </c>
      <c r="C96" s="8" t="str">
        <f>IFERROR(Intersectcomplex(D76,E76,D77,E77,GEAR3,TRUE),"")</f>
        <v/>
      </c>
      <c r="D96" s="8" t="str">
        <f>IFERROR(Intersectcomplex(F76,G76,F77,G77,GEAR4,TRUE),"")</f>
        <v/>
      </c>
      <c r="E96" s="8" t="str">
        <f>IFERROR(Intersectcomplex(H76,I76,H77,I77,GEAR5,TRUE),"")</f>
        <v/>
      </c>
      <c r="F96" s="5"/>
    </row>
    <row r="97" spans="2:11" x14ac:dyDescent="0.2">
      <c r="B97" s="8" t="str">
        <f>IFERROR(Intersectcomplex(B77,C77,B78,C78,GEAR2,TRUE),"")</f>
        <v/>
      </c>
      <c r="C97" s="8" t="str">
        <f>IFERROR(Intersectcomplex(D77,E77,D78,E78,GEAR3,TRUE),"")</f>
        <v/>
      </c>
      <c r="D97" s="8" t="str">
        <f>IFERROR(Intersectcomplex(F77,G77,F78,G78,GEAR4,TRUE),"")</f>
        <v/>
      </c>
      <c r="E97" s="8" t="str">
        <f>IFERROR(Intersectcomplex(H77,I77,H78,I78,GEAR5,TRUE),"")</f>
        <v/>
      </c>
      <c r="F97" s="5"/>
    </row>
    <row r="98" spans="2:11" x14ac:dyDescent="0.2">
      <c r="B98" s="8" t="str">
        <f>IFERROR(Intersectcomplex(B78,C78,B79,C79,GEAR2,TRUE),"")</f>
        <v/>
      </c>
      <c r="C98" s="8" t="str">
        <f>IFERROR(Intersectcomplex(D78,E78,D79,E79,GEAR3,TRUE),"")</f>
        <v/>
      </c>
      <c r="D98" s="8" t="str">
        <f>IFERROR(Intersectcomplex(F78,G78,F79,G79,GEAR4,TRUE),"")</f>
        <v/>
      </c>
      <c r="E98" s="8" t="str">
        <f>IFERROR(Intersectcomplex(H78,I78,H79,I79,GEAR5,TRUE),"")</f>
        <v/>
      </c>
      <c r="F98" s="5"/>
    </row>
    <row r="99" spans="2:11" x14ac:dyDescent="0.2">
      <c r="B99" s="8" t="str">
        <f>IFERROR(Intersectcomplex(B79,C79,B80,C80,GEAR2,TRUE),"")</f>
        <v/>
      </c>
      <c r="C99" s="8" t="str">
        <f>IFERROR(Intersectcomplex(D79,E79,D80,E80,GEAR3,TRUE),"")</f>
        <v/>
      </c>
      <c r="D99" s="8" t="str">
        <f>IFERROR(Intersectcomplex(F79,G79,F80,G80,GEAR4,TRUE),"")</f>
        <v/>
      </c>
      <c r="E99" s="8" t="str">
        <f>IFERROR(Intersectcomplex(H79,I79,H80,I80,GEAR5,TRUE),"")</f>
        <v/>
      </c>
      <c r="F99" s="5"/>
    </row>
    <row r="100" spans="2:11" x14ac:dyDescent="0.2">
      <c r="B100" s="8" t="str">
        <f>IFERROR(Intersectcomplex(B80,C80,B81,C81,GEAR2,TRUE),"")</f>
        <v/>
      </c>
      <c r="C100" s="8" t="str">
        <f>IFERROR(Intersectcomplex(D80,E80,D81,E81,GEAR3,TRUE),"")</f>
        <v/>
      </c>
      <c r="D100" s="8" t="str">
        <f>IFERROR(Intersectcomplex(F80,G80,F81,G81,GEAR4,TRUE),"")</f>
        <v/>
      </c>
      <c r="E100" s="8" t="str">
        <f>IFERROR(Intersectcomplex(H80,I80,H81,I81,GEAR5,TRUE),"")</f>
        <v/>
      </c>
      <c r="F100" s="5"/>
    </row>
    <row r="101" spans="2:11" x14ac:dyDescent="0.2">
      <c r="B101" s="8" t="str">
        <f>IFERROR(Intersectcomplex(B81,C81,B82,C82,GEAR2,TRUE),"")</f>
        <v/>
      </c>
      <c r="C101" s="8" t="str">
        <f>IFERROR(Intersectcomplex(D81,E81,D82,E82,GEAR3,TRUE),"")</f>
        <v/>
      </c>
      <c r="D101" s="8" t="str">
        <f>IFERROR(Intersectcomplex(F81,G81,F82,G82,GEAR4,TRUE),"")</f>
        <v/>
      </c>
      <c r="E101" s="8" t="str">
        <f>IFERROR(Intersectcomplex(H81,I81,H82,I82,GEAR5,TRUE),"")</f>
        <v/>
      </c>
      <c r="F101" s="5"/>
    </row>
    <row r="102" spans="2:11" x14ac:dyDescent="0.2">
      <c r="B102" s="8" t="str">
        <f>IFERROR(Intersectcomplex(B82,C82,B83,C83,GEAR2,TRUE),"")</f>
        <v/>
      </c>
      <c r="C102" s="8" t="str">
        <f>IFERROR(Intersectcomplex(D82,E82,D83,E83,GEAR3,TRUE),"")</f>
        <v/>
      </c>
      <c r="D102" s="8" t="str">
        <f>IFERROR(Intersectcomplex(F82,G82,F83,G83,GEAR4,TRUE),"")</f>
        <v/>
      </c>
      <c r="E102" s="8" t="str">
        <f>IFERROR(Intersectcomplex(H82,I82,H83,I83,GEAR5,TRUE),"")</f>
        <v/>
      </c>
      <c r="F102" s="5"/>
    </row>
    <row r="103" spans="2:11" x14ac:dyDescent="0.2">
      <c r="B103" s="8" t="str">
        <f>IFERROR(Intersectcomplex(B83,C83,B84,C84,GEAR2,TRUE),"")</f>
        <v/>
      </c>
      <c r="C103" s="8" t="str">
        <f>IFERROR(Intersectcomplex(D83,E83,D84,E84,GEAR3,TRUE),"")</f>
        <v/>
      </c>
      <c r="D103" s="8" t="str">
        <f>IFERROR(Intersectcomplex(F83,G83,F84,G84,GEAR4,TRUE),"")</f>
        <v/>
      </c>
      <c r="E103" s="8">
        <f>IFERROR(Intersectcomplex(H83,I83,H84,I84,GEAR5,TRUE),"")</f>
        <v>111.99456912257244</v>
      </c>
      <c r="F103" s="5"/>
    </row>
    <row r="104" spans="2:11" x14ac:dyDescent="0.2">
      <c r="B104" s="8" t="str">
        <f>IFERROR(Intersectcomplex(B84,C84,B85,C85,GEAR2,TRUE),"")</f>
        <v/>
      </c>
      <c r="C104" s="8" t="str">
        <f>IFERROR(Intersectcomplex(D84,E84,D85,E85,GEAR3,TRUE),"")</f>
        <v/>
      </c>
      <c r="D104" s="8">
        <f>IFERROR(Intersectcomplex(F84,G84,F85,G85,GEAR4,TRUE),"")</f>
        <v>88.607479115358487</v>
      </c>
      <c r="E104" s="8" t="str">
        <f>IFERROR(Intersectcomplex(H84,I84,H85,I85,GEAR5,TRUE),"")</f>
        <v/>
      </c>
      <c r="F104" s="5"/>
    </row>
    <row r="105" spans="2:11" x14ac:dyDescent="0.2">
      <c r="B105" s="8" t="str">
        <f>IFERROR(Intersectcomplex(B85,C85,B86,C86,GEAR2,TRUE),"")</f>
        <v/>
      </c>
      <c r="C105" s="8">
        <f>IFERROR(Intersectcomplex(D85,E85,D86,E86,GEAR3,TRUE),"")</f>
        <v>64.947427829721036</v>
      </c>
      <c r="D105" s="8" t="str">
        <f>IFERROR(Intersectcomplex(F85,G85,F86,G86,GEAR4,TRUE),"")</f>
        <v/>
      </c>
      <c r="E105" s="8" t="str">
        <f>IFERROR(Intersectcomplex(H85,I85,H86,I86,GEAR5,TRUE),"")</f>
        <v/>
      </c>
      <c r="F105" s="5"/>
    </row>
    <row r="106" spans="2:11" x14ac:dyDescent="0.2">
      <c r="B106" s="8">
        <f>IFERROR(Intersectcomplex(B86,C86,B87,C87,GEAR2,TRUE),"")</f>
        <v>43.066266511542707</v>
      </c>
      <c r="C106" s="8" t="str">
        <f>IFERROR(Intersectcomplex(D86,E86,D87,E87,GEAR3,TRUE),"")</f>
        <v/>
      </c>
      <c r="D106" s="8" t="str">
        <f>IFERROR(Intersectcomplex(F86,G86,F87,G87,GEAR4,TRUE),"")</f>
        <v/>
      </c>
      <c r="E106" s="8" t="str">
        <f>IFERROR(Intersectcomplex(H86,I86,H87,I87,GEAR5,TRUE),"")</f>
        <v/>
      </c>
      <c r="F106" s="5"/>
    </row>
    <row r="107" spans="2:11" x14ac:dyDescent="0.2">
      <c r="D107" s="6"/>
      <c r="G107" s="6"/>
    </row>
    <row r="108" spans="2:11" x14ac:dyDescent="0.2">
      <c r="B108" s="27">
        <f>IF(MIN(B92:B106)&gt;0,MIN(B92:B106),B87)</f>
        <v>43.066266511542707</v>
      </c>
      <c r="C108" s="27">
        <f>IF(MIN(C92:C106)&gt;0,MIN(C92:C106),D87)</f>
        <v>64.947427829721036</v>
      </c>
      <c r="D108" s="27">
        <f>IF(MIN(D92:D106)&gt;0,MIN(D92:D106),F87)</f>
        <v>88.607479115358487</v>
      </c>
      <c r="E108" s="27">
        <f>IF(MIN(E92:E106)&gt;0,MIN(E92:E106),H87)</f>
        <v>111.99456912257244</v>
      </c>
      <c r="F108" s="3"/>
      <c r="K108" s="6"/>
    </row>
    <row r="111" spans="2:11" x14ac:dyDescent="0.2">
      <c r="B111" s="29" t="s">
        <v>20</v>
      </c>
      <c r="C111" s="10">
        <f>IFERROR(C115+(C116-C115)* (B$108-C117)/(C118-C117),MAX('Summary Sheet'!G7:G22))</f>
        <v>4687.3177842565601</v>
      </c>
      <c r="D111" s="10">
        <f>D115+(D116-D115)* (C$108-D117)/(D118-D117)</f>
        <v>4979.6495708848051</v>
      </c>
      <c r="E111" s="10">
        <f>E115+(E116-E115)* (D$108-E117)/(E118-E117)</f>
        <v>5108.0550098231834</v>
      </c>
      <c r="F111" s="10">
        <f>F115+(F116-F115)* (E$108-F117)/(F118-F117)</f>
        <v>5255.4093901677707</v>
      </c>
    </row>
    <row r="112" spans="2:11" x14ac:dyDescent="0.2">
      <c r="B112" s="10">
        <f>IFERROR(B119+(B120-B119)* (B$108-B121)/(B122-B121),MAX($B$10:$B$25))</f>
        <v>7785.7142857142862</v>
      </c>
      <c r="C112" s="10">
        <f>IFERROR(C119+(C120-C119)* (C$108-C121)/(C122-C121),MAX($B$10:$B$25))</f>
        <v>7068.8559322033889</v>
      </c>
      <c r="D112" s="10">
        <f t="shared" ref="D112:F112" si="21">IFERROR(D119+(D120-D119)* (D$108-D121)/(D122-D121),MAX($B$10:$B$25))</f>
        <v>6793.7131630648337</v>
      </c>
      <c r="E112" s="10">
        <f t="shared" si="21"/>
        <v>6456.276892097997</v>
      </c>
      <c r="F112" s="10">
        <f t="shared" si="21"/>
        <v>8000</v>
      </c>
    </row>
    <row r="113" spans="2:6" x14ac:dyDescent="0.2">
      <c r="B113" s="12"/>
      <c r="C113" s="12"/>
      <c r="D113" s="12"/>
      <c r="E113" s="12"/>
      <c r="F113" s="12"/>
    </row>
    <row r="114" spans="2:6" x14ac:dyDescent="0.2">
      <c r="B114" s="12">
        <v>1</v>
      </c>
      <c r="C114" s="12">
        <v>2</v>
      </c>
      <c r="D114" s="12">
        <v>3</v>
      </c>
      <c r="E114" s="12">
        <v>4</v>
      </c>
      <c r="F114" s="12">
        <v>5</v>
      </c>
    </row>
    <row r="115" spans="2:6" x14ac:dyDescent="0.2">
      <c r="B115" s="12"/>
      <c r="C115" s="12">
        <f>INDEX($B$31:$G$46,MATCH(B$108,D$31:D$46,B114),1)</f>
        <v>4500</v>
      </c>
      <c r="D115" s="10">
        <f>INDEX($B$31:$G$46,MATCH(C$108,E$31:E$46,1),1)</f>
        <v>4500</v>
      </c>
      <c r="E115" s="10">
        <f>INDEX($B$31:$G$46,MATCH(D$108,F$31:F$46,1),1)</f>
        <v>5000</v>
      </c>
      <c r="F115" s="10">
        <f>INDEX($B$31:$G$46,MATCH(E$108,G$31:G$46,1),1)</f>
        <v>5000</v>
      </c>
    </row>
    <row r="116" spans="2:6" x14ac:dyDescent="0.2">
      <c r="B116" s="12"/>
      <c r="C116" s="12">
        <f>INDEX($B$31:$G$46,MATCH(B$108,D$31:D$46,B114)+1,1)</f>
        <v>5000</v>
      </c>
      <c r="D116" s="10">
        <f>INDEX($B$31:$G$46,MATCH(C$108,E$31:E$46,1)+1,1)</f>
        <v>5000</v>
      </c>
      <c r="E116" s="10">
        <f>INDEX($B$31:$G$46,MATCH(D$108,F$31:F$46,1)+1,1)</f>
        <v>5500</v>
      </c>
      <c r="F116" s="10">
        <f>INDEX($B$31:$G$46,MATCH(E$108,G$31:G$46,1)+1,1)</f>
        <v>5500</v>
      </c>
    </row>
    <row r="117" spans="2:6" x14ac:dyDescent="0.2">
      <c r="B117" s="12"/>
      <c r="C117" s="7">
        <f>INDEX($B$31:$G$46,MATCH(B$108,D$31:D$46,B114),3)</f>
        <v>41.345223051199604</v>
      </c>
      <c r="D117" s="7">
        <f>INDEX($B$31:$G$46,MATCH(C$108,E$31:E$46,1),D114+1)</f>
        <v>58.691564752379584</v>
      </c>
      <c r="E117" s="7">
        <f>INDEX($B$31:$G$46,MATCH(D$108,F$31:F$46,1),E114+1)</f>
        <v>86.733090134072043</v>
      </c>
      <c r="F117" s="7">
        <f>INDEX($B$31:$G$46,MATCH(E$108,G$31:G$46,1),F114+1)</f>
        <v>106.55170778141529</v>
      </c>
    </row>
    <row r="118" spans="2:6" x14ac:dyDescent="0.2">
      <c r="B118" s="12"/>
      <c r="C118" s="7">
        <f>INDEX($B$31:$G$46,MATCH(B$108,D$31:D$46,B114)+1,3)</f>
        <v>45.939136723555109</v>
      </c>
      <c r="D118" s="7">
        <f>INDEX($B$31:$G$46,MATCH(C$108,E$31:E$46,1)+1,D114+1)</f>
        <v>65.212849724866189</v>
      </c>
      <c r="E118" s="7">
        <f>INDEX($B$31:$G$46,MATCH(D$108,F$31:F$46,1)+1,E114+1)</f>
        <v>95.406399147479249</v>
      </c>
      <c r="F118" s="7">
        <f>INDEX($B$31:$G$46,MATCH(E$108,G$31:G$46,1)+1,F114+1)</f>
        <v>117.20687855955681</v>
      </c>
    </row>
    <row r="119" spans="2:6" x14ac:dyDescent="0.2">
      <c r="B119" s="10">
        <f>INDEX($B$31:$G$46,MATCH(B$108,C$31:C$46,1),1)</f>
        <v>7500</v>
      </c>
      <c r="C119" s="10">
        <f>INDEX($B$31:$G$46,MATCH(C$108,D$31:D$46,1),1)</f>
        <v>7000</v>
      </c>
      <c r="D119" s="10">
        <f>INDEX($B$31:$G$46,MATCH(D$108,E$31:E$46,1),1)</f>
        <v>6500</v>
      </c>
      <c r="E119" s="10">
        <f>INDEX($B$31:$G$46,MATCH(E$108,F$31:F$46,1),1)</f>
        <v>6000</v>
      </c>
      <c r="F119" s="12"/>
    </row>
    <row r="120" spans="2:6" x14ac:dyDescent="0.2">
      <c r="B120" s="10">
        <f>INDEX($B$31:$G$46,MATCH(B$108,C$31:C$46,1)+1,1)</f>
        <v>8000</v>
      </c>
      <c r="C120" s="10">
        <f>INDEX($B$31:$G$46,MATCH(C$108,D$31:D$46,1)+1,1)</f>
        <v>7500</v>
      </c>
      <c r="D120" s="10">
        <f>INDEX($B$31:$G$46,MATCH(D$108,E$31:E$46,1)+1,1)</f>
        <v>7000</v>
      </c>
      <c r="E120" s="10">
        <f>INDEX($B$31:$G$46,MATCH(E$108,F$31:F$46,1)+1,1)</f>
        <v>6500</v>
      </c>
      <c r="F120" s="12"/>
    </row>
    <row r="121" spans="2:6" x14ac:dyDescent="0.2">
      <c r="B121" s="7">
        <f>INDEX($B$31:$G$46,MATCH(B$108,C$31:C$46,1),B114+1)</f>
        <v>41.485853061577835</v>
      </c>
      <c r="C121" s="7">
        <f>INDEX($B$31:$G$46,MATCH(C$108,D$31:D$46,1),C114+1)</f>
        <v>64.314791412977172</v>
      </c>
      <c r="D121" s="7">
        <f>INDEX($B$31:$G$46,MATCH(D$108,E$31:E$46,1),D114+1)</f>
        <v>84.776704642326067</v>
      </c>
      <c r="E121" s="7">
        <f>INDEX($B$31:$G$46,MATCH(E$108,F$31:F$46,1),E114+1)</f>
        <v>104.07970816088647</v>
      </c>
      <c r="F121" s="12"/>
    </row>
    <row r="122" spans="2:6" x14ac:dyDescent="0.2">
      <c r="B122" s="7">
        <f>INDEX($B$31:$G$46,MATCH(B$108,C$31:C$46,1)+1,B114+1)</f>
        <v>44.251576599016353</v>
      </c>
      <c r="C122" s="7">
        <f>INDEX($B$31:$G$46,MATCH(C$108,D$31:D$46,1)+1,C114+1)</f>
        <v>68.908705085332684</v>
      </c>
      <c r="D122" s="7">
        <f>INDEX($B$31:$G$46,MATCH(D$108,E$31:E$46,1)+1,D114+1)</f>
        <v>91.297989614812678</v>
      </c>
      <c r="E122" s="7">
        <f>INDEX($B$31:$G$46,MATCH(E$108,F$31:F$46,1)+1,E114+1)</f>
        <v>112.75301717429367</v>
      </c>
      <c r="F122" s="12"/>
    </row>
  </sheetData>
  <mergeCells count="7">
    <mergeCell ref="N9:N16"/>
    <mergeCell ref="P9:Q9"/>
    <mergeCell ref="B71:C71"/>
    <mergeCell ref="D71:E71"/>
    <mergeCell ref="F71:G71"/>
    <mergeCell ref="H71:I71"/>
    <mergeCell ref="J71:K7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90A64-B891-AC4A-9155-0C5497B3C640}">
  <dimension ref="B3:C11"/>
  <sheetViews>
    <sheetView workbookViewId="0">
      <selection activeCell="C12" sqref="C12"/>
    </sheetView>
  </sheetViews>
  <sheetFormatPr baseColWidth="10" defaultRowHeight="16" x14ac:dyDescent="0.2"/>
  <cols>
    <col min="1" max="16384" width="10.83203125" style="2"/>
  </cols>
  <sheetData>
    <row r="3" spans="2:3" x14ac:dyDescent="0.2">
      <c r="B3" s="2" t="s">
        <v>52</v>
      </c>
    </row>
    <row r="5" spans="2:3" x14ac:dyDescent="0.2">
      <c r="B5" s="2" t="s">
        <v>53</v>
      </c>
      <c r="C5" s="2" t="s">
        <v>54</v>
      </c>
    </row>
    <row r="6" spans="2:3" x14ac:dyDescent="0.2">
      <c r="C6" s="2" t="s">
        <v>55</v>
      </c>
    </row>
    <row r="7" spans="2:3" x14ac:dyDescent="0.2">
      <c r="C7" s="2" t="s">
        <v>56</v>
      </c>
    </row>
    <row r="8" spans="2:3" x14ac:dyDescent="0.2">
      <c r="C8" s="2" t="s">
        <v>57</v>
      </c>
    </row>
    <row r="9" spans="2:3" x14ac:dyDescent="0.2">
      <c r="C9" s="2" t="s">
        <v>58</v>
      </c>
    </row>
    <row r="10" spans="2:3" x14ac:dyDescent="0.2">
      <c r="C10" s="2" t="s">
        <v>59</v>
      </c>
    </row>
    <row r="11" spans="2:3" x14ac:dyDescent="0.2">
      <c r="C11" s="2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Summary Sheet</vt:lpstr>
      <vt:lpstr>workings</vt:lpstr>
      <vt:lpstr>chages</vt:lpstr>
      <vt:lpstr>GEAR1</vt:lpstr>
      <vt:lpstr>GEAR2</vt:lpstr>
      <vt:lpstr>GEAR3</vt:lpstr>
      <vt:lpstr>GEAR4</vt:lpstr>
      <vt:lpstr>GEAR5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 Abid</dc:creator>
  <cp:lastModifiedBy>Samir Abid</cp:lastModifiedBy>
  <dcterms:created xsi:type="dcterms:W3CDTF">2019-04-04T11:00:42Z</dcterms:created>
  <dcterms:modified xsi:type="dcterms:W3CDTF">2019-06-04T12:33:37Z</dcterms:modified>
</cp:coreProperties>
</file>